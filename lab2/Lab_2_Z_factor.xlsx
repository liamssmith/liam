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<sst xmlns="http://schemas.openxmlformats.org/spreadsheetml/2006/main" count="142" uniqueCount="30">
  <si>
    <t xml:space="preserve">Part 1</t>
  </si>
  <si>
    <t xml:space="preserve">Sample</t>
  </si>
  <si>
    <t xml:space="preserve">Methane</t>
  </si>
  <si>
    <t xml:space="preserve">R</t>
  </si>
  <si>
    <t xml:space="preserve">cm3·bar/(mol·K)</t>
  </si>
  <si>
    <t xml:space="preserve">Tc</t>
  </si>
  <si>
    <t xml:space="preserve">K</t>
  </si>
  <si>
    <t xml:space="preserve">Pc</t>
  </si>
  <si>
    <t xml:space="preserve">bar</t>
  </si>
  <si>
    <t xml:space="preserve">Legend</t>
  </si>
  <si>
    <t xml:space="preserve">Tr</t>
  </si>
  <si>
    <t xml:space="preserve">Blue text = input: overwrite with the exact SOPE reading</t>
  </si>
  <si>
    <t xml:space="preserve">T1</t>
  </si>
  <si>
    <t xml:space="preserve">°C</t>
  </si>
  <si>
    <t xml:space="preserve">Black text = formula (do not edit)</t>
  </si>
  <si>
    <t xml:space="preserve">n</t>
  </si>
  <si>
    <t xml:space="preserve">millimol</t>
  </si>
  <si>
    <t xml:space="preserve">Part 1: enter V (cm3/mol) from SOPE; Part 2: enter p and n read in SOPE</t>
  </si>
  <si>
    <t xml:space="preserve">n (B7, H7, B36, H36) = millimol charged at ~1 bar, read from SOPE</t>
  </si>
  <si>
    <t xml:space="preserve">p (bar)</t>
  </si>
  <si>
    <t xml:space="preserve">V (cm3/mol)</t>
  </si>
  <si>
    <t xml:space="preserve">Vid(cm3/mol)</t>
  </si>
  <si>
    <t xml:space="preserve">Z</t>
  </si>
  <si>
    <t xml:space="preserve">pr</t>
  </si>
  <si>
    <t xml:space="preserve">Pressure-step rationale: Part 1 uses ~10 bar steps from 1 to 175 bar (19 pts) so the Z dip near pr≈1–3 is resolved; Part 2 continues at fixed V≈30 cm3 in ~50 bar steps to ~900 bar.</t>
  </si>
  <si>
    <t xml:space="preserve">Ethane</t>
  </si>
  <si>
    <t xml:space="preserve">Part 2</t>
  </si>
  <si>
    <t xml:space="preserve">V1 (cm3)</t>
  </si>
  <si>
    <t xml:space="preserve">n (millimole)</t>
  </si>
  <si>
    <t xml:space="preserve">V (cm3)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</si>
</sst>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0"/>
    <numFmt numFmtId="167" formatCode="0.000"/>
    <numFmt numFmtId="168" formatCode="0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8"/>
      <color rgb="FF595959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5"/>
        <bgColor rgb="FF969696"/>
      </patternFill>
    </fill>
    <fill>
      <patternFill patternType="solid">
        <fgColor theme="2"/>
        <bgColor rgb="FFD9D9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595959"/>
                </a:solidFill>
                <a:latin typeface="Calibri"/>
              </a:rPr>
              <a:t>Z vs. Reduced Pressure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6136221806187"/>
          <c:y val="0.104916965157929"/>
          <c:w val="0.833467058928412"/>
          <c:h val="0.870400521002931"/>
        </c:manualLayout>
      </c:layout>
      <c:scatterChart>
        <c:scatterStyle val="lineMarker"/>
        <c:varyColors val="0"/>
        <c:ser>
          <c:idx val="0"/>
          <c:order val="0"/>
          <c:tx>
            <c:strRef>
              <c:f>"Methane 1.1"</c:f>
              <c:strCache>
                <c:ptCount val="1"/>
                <c:pt idx="0">
                  <c:v>Methane 1.1</c:v>
                </c:pt>
              </c:strCache>
            </c:strRef>
          </c:tx>
          <c:spPr>
            <a:solidFill>
              <a:srgbClr val="4472c4"/>
            </a:solidFill>
            <a:ln w="25560">
              <a:noFill/>
            </a:ln>
          </c:spPr>
          <c:marker>
            <c:symbol val="triang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Lab2!$E$10:$E$28,Lab2!$E$68:$E$86</c:f>
              <c:numCache>
                <c:formatCode>0.000</c:formatCode>
                <c:ptCount val="38"/>
                <c:pt idx="0">
                  <c:v>0.0216919739696312</c:v>
                </c:pt>
                <c:pt idx="1">
                  <c:v>0.108459869848156</c:v>
                </c:pt>
                <c:pt idx="2">
                  <c:v>0.216919739696312</c:v>
                </c:pt>
                <c:pt idx="3">
                  <c:v>0.433839479392625</c:v>
                </c:pt>
                <c:pt idx="4">
                  <c:v>0.650759219088937</c:v>
                </c:pt>
                <c:pt idx="5">
                  <c:v>0.86767895878525</c:v>
                </c:pt>
                <c:pt idx="6">
                  <c:v>1.08459869848156</c:v>
                </c:pt>
                <c:pt idx="7">
                  <c:v>1.30151843817787</c:v>
                </c:pt>
                <c:pt idx="8">
                  <c:v>1.51843817787419</c:v>
                </c:pt>
                <c:pt idx="9">
                  <c:v>1.7353579175705</c:v>
                </c:pt>
                <c:pt idx="10">
                  <c:v>1.95227765726681</c:v>
                </c:pt>
                <c:pt idx="11">
                  <c:v>2.16919739696312</c:v>
                </c:pt>
                <c:pt idx="12">
                  <c:v>2.38611713665944</c:v>
                </c:pt>
                <c:pt idx="13">
                  <c:v>2.60303687635575</c:v>
                </c:pt>
                <c:pt idx="14">
                  <c:v>2.81995661605206</c:v>
                </c:pt>
                <c:pt idx="15">
                  <c:v>3.03687635574837</c:v>
                </c:pt>
                <c:pt idx="16">
                  <c:v>3.25379609544469</c:v>
                </c:pt>
                <c:pt idx="17">
                  <c:v>3.470715835141</c:v>
                </c:pt>
                <c:pt idx="18">
                  <c:v>3.79609544468547</c:v>
                </c:pt>
                <c:pt idx="19">
                  <c:v>3.79609544468547</c:v>
                </c:pt>
                <c:pt idx="20">
                  <c:v>4.33839479392625</c:v>
                </c:pt>
                <c:pt idx="21">
                  <c:v>5.42299349240781</c:v>
                </c:pt>
                <c:pt idx="22">
                  <c:v>6.50759219088937</c:v>
                </c:pt>
                <c:pt idx="23">
                  <c:v>7.59219088937093</c:v>
                </c:pt>
                <c:pt idx="24">
                  <c:v>8.6767895878525</c:v>
                </c:pt>
                <c:pt idx="25">
                  <c:v>9.76138828633406</c:v>
                </c:pt>
                <c:pt idx="26">
                  <c:v>10.8459869848156</c:v>
                </c:pt>
                <c:pt idx="27">
                  <c:v>11.9305856832972</c:v>
                </c:pt>
                <c:pt idx="28">
                  <c:v>13.0151843817787</c:v>
                </c:pt>
                <c:pt idx="29">
                  <c:v>14.0997830802603</c:v>
                </c:pt>
                <c:pt idx="30">
                  <c:v>15.1843817787419</c:v>
                </c:pt>
                <c:pt idx="31">
                  <c:v>16.2689804772234</c:v>
                </c:pt>
                <c:pt idx="32">
                  <c:v>17.353579175705</c:v>
                </c:pt>
                <c:pt idx="33">
                  <c:v>18.4381778741866</c:v>
                </c:pt>
                <c:pt idx="34">
                  <c:v>19.5227765726681</c:v>
                </c:pt>
              </c:numCache>
            </c:numRef>
          </c:xVal>
          <c:yVal>
            <c:numRef>
              <c:f>Lab2!$D$10:$D$28,Lab2!$D$68:$D$86</c:f>
              <c:numCache>
                <c:formatCode>General</c:formatCode>
                <c:ptCount val="38"/>
              </c:numCache>
            </c:numRef>
          </c:yVal>
          <c:smooth val="0"/>
        </c:ser>
        <c:ser>
          <c:idx val="1"/>
          <c:order val="1"/>
          <c:tx>
            <c:strRef>
              <c:f>"Methane 1.5"</c:f>
              <c:strCache>
                <c:ptCount val="1"/>
                <c:pt idx="0">
                  <c:v>Methane 1.5</c:v>
                </c:pt>
              </c:strCache>
            </c:strRef>
          </c:tx>
          <c:spPr>
            <a:solidFill>
              <a:srgbClr val="ed7d31"/>
            </a:solidFill>
            <a:ln w="25560">
              <a:noFill/>
            </a:ln>
          </c:spPr>
          <c:marker>
            <c:symbol val="triang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Lab2!$K$10:$K$28,Lab2!$K$68:$K$86</c:f>
              <c:numCache>
                <c:formatCode>0.000</c:formatCode>
                <c:ptCount val="38"/>
                <c:pt idx="0">
                  <c:v>0.0216919739696312</c:v>
                </c:pt>
                <c:pt idx="1">
                  <c:v>0.108459869848156</c:v>
                </c:pt>
                <c:pt idx="2">
                  <c:v>0.216919739696312</c:v>
                </c:pt>
                <c:pt idx="3">
                  <c:v>0.433839479392625</c:v>
                </c:pt>
                <c:pt idx="4">
                  <c:v>0.650759219088937</c:v>
                </c:pt>
                <c:pt idx="5">
                  <c:v>0.86767895878525</c:v>
                </c:pt>
                <c:pt idx="6">
                  <c:v>1.08459869848156</c:v>
                </c:pt>
                <c:pt idx="7">
                  <c:v>1.30151843817787</c:v>
                </c:pt>
                <c:pt idx="8">
                  <c:v>1.51843817787419</c:v>
                </c:pt>
                <c:pt idx="9">
                  <c:v>1.7353579175705</c:v>
                </c:pt>
                <c:pt idx="10">
                  <c:v>1.95227765726681</c:v>
                </c:pt>
                <c:pt idx="11">
                  <c:v>2.16919739696312</c:v>
                </c:pt>
                <c:pt idx="12">
                  <c:v>2.38611713665944</c:v>
                </c:pt>
                <c:pt idx="13">
                  <c:v>2.60303687635575</c:v>
                </c:pt>
                <c:pt idx="14">
                  <c:v>2.81995661605206</c:v>
                </c:pt>
                <c:pt idx="15">
                  <c:v>3.03687635574837</c:v>
                </c:pt>
                <c:pt idx="16">
                  <c:v>3.25379609544469</c:v>
                </c:pt>
                <c:pt idx="17">
                  <c:v>3.470715835141</c:v>
                </c:pt>
                <c:pt idx="18">
                  <c:v>3.79609544468547</c:v>
                </c:pt>
                <c:pt idx="19">
                  <c:v>3.79609544468547</c:v>
                </c:pt>
                <c:pt idx="20">
                  <c:v>4.33839479392625</c:v>
                </c:pt>
                <c:pt idx="21">
                  <c:v>5.42299349240781</c:v>
                </c:pt>
                <c:pt idx="22">
                  <c:v>6.50759219088937</c:v>
                </c:pt>
                <c:pt idx="23">
                  <c:v>7.59219088937093</c:v>
                </c:pt>
                <c:pt idx="24">
                  <c:v>8.6767895878525</c:v>
                </c:pt>
                <c:pt idx="25">
                  <c:v>9.76138828633406</c:v>
                </c:pt>
                <c:pt idx="26">
                  <c:v>10.8459869848156</c:v>
                </c:pt>
                <c:pt idx="27">
                  <c:v>11.9305856832972</c:v>
                </c:pt>
                <c:pt idx="28">
                  <c:v>13.0151843817787</c:v>
                </c:pt>
                <c:pt idx="29">
                  <c:v>14.0997830802603</c:v>
                </c:pt>
                <c:pt idx="30">
                  <c:v>15.1843817787419</c:v>
                </c:pt>
                <c:pt idx="31">
                  <c:v>16.2689804772234</c:v>
                </c:pt>
                <c:pt idx="32">
                  <c:v>17.353579175705</c:v>
                </c:pt>
                <c:pt idx="33">
                  <c:v>18.4381778741866</c:v>
                </c:pt>
                <c:pt idx="34">
                  <c:v>19.5227765726681</c:v>
                </c:pt>
              </c:numCache>
            </c:numRef>
          </c:xVal>
          <c:yVal>
            <c:numRef>
              <c:f>Lab2!$J$10:$J$28,Lab2!$J$68:$J$86</c:f>
              <c:numCache>
                <c:formatCode>General</c:formatCode>
                <c:ptCount val="38"/>
              </c:numCache>
            </c:numRef>
          </c:yVal>
          <c:smooth val="0"/>
        </c:ser>
        <c:ser>
          <c:idx val="2"/>
          <c:order val="2"/>
          <c:tx>
            <c:strRef>
              <c:f>"Ethane 1.1"</c:f>
              <c:strCache>
                <c:ptCount val="1"/>
                <c:pt idx="0">
                  <c:v>Ethane 1.1</c:v>
                </c:pt>
              </c:strCache>
            </c:strRef>
          </c:tx>
          <c:spPr>
            <a:solidFill>
              <a:srgbClr val="ffc000"/>
            </a:solidFill>
            <a:ln w="25560">
              <a:noFill/>
            </a:ln>
          </c:spPr>
          <c:marker>
            <c:symbol val="triangle"/>
            <c:size val="5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Lab2!$E$39:$E$57,Lab2!$E$96:$E$114</c:f>
              <c:numCache>
                <c:formatCode>0.000</c:formatCode>
                <c:ptCount val="38"/>
                <c:pt idx="0">
                  <c:v>0.0204081632653061</c:v>
                </c:pt>
                <c:pt idx="1">
                  <c:v>0.102040816326531</c:v>
                </c:pt>
                <c:pt idx="2">
                  <c:v>0.204081632653061</c:v>
                </c:pt>
                <c:pt idx="3">
                  <c:v>0.408163265306122</c:v>
                </c:pt>
                <c:pt idx="4">
                  <c:v>0.612244897959184</c:v>
                </c:pt>
                <c:pt idx="5">
                  <c:v>0.816326530612245</c:v>
                </c:pt>
                <c:pt idx="6">
                  <c:v>1.02040816326531</c:v>
                </c:pt>
                <c:pt idx="7">
                  <c:v>1.22448979591837</c:v>
                </c:pt>
                <c:pt idx="8">
                  <c:v>1.42857142857143</c:v>
                </c:pt>
                <c:pt idx="9">
                  <c:v>1.63265306122449</c:v>
                </c:pt>
                <c:pt idx="10">
                  <c:v>1.83673469387755</c:v>
                </c:pt>
                <c:pt idx="11">
                  <c:v>2.04081632653061</c:v>
                </c:pt>
                <c:pt idx="12">
                  <c:v>2.24489795918367</c:v>
                </c:pt>
                <c:pt idx="13">
                  <c:v>2.44897959183673</c:v>
                </c:pt>
                <c:pt idx="14">
                  <c:v>2.6530612244898</c:v>
                </c:pt>
                <c:pt idx="15">
                  <c:v>2.85714285714286</c:v>
                </c:pt>
                <c:pt idx="16">
                  <c:v>3.06122448979592</c:v>
                </c:pt>
                <c:pt idx="17">
                  <c:v>3.26530612244898</c:v>
                </c:pt>
                <c:pt idx="18">
                  <c:v>3.57142857142857</c:v>
                </c:pt>
                <c:pt idx="19">
                  <c:v>3.57142857142857</c:v>
                </c:pt>
                <c:pt idx="20">
                  <c:v>4.08163265306123</c:v>
                </c:pt>
                <c:pt idx="21">
                  <c:v>5.10204081632653</c:v>
                </c:pt>
                <c:pt idx="22">
                  <c:v>6.12244897959184</c:v>
                </c:pt>
                <c:pt idx="23">
                  <c:v>7.14285714285714</c:v>
                </c:pt>
                <c:pt idx="24">
                  <c:v>8.16326530612245</c:v>
                </c:pt>
                <c:pt idx="25">
                  <c:v>9.18367346938776</c:v>
                </c:pt>
                <c:pt idx="26">
                  <c:v>10.2040816326531</c:v>
                </c:pt>
                <c:pt idx="27">
                  <c:v>11.2244897959184</c:v>
                </c:pt>
                <c:pt idx="28">
                  <c:v>12.2448979591837</c:v>
                </c:pt>
                <c:pt idx="29">
                  <c:v>13.265306122449</c:v>
                </c:pt>
                <c:pt idx="30">
                  <c:v>14.2857142857143</c:v>
                </c:pt>
                <c:pt idx="31">
                  <c:v>15.3061224489796</c:v>
                </c:pt>
                <c:pt idx="32">
                  <c:v>16.3265306122449</c:v>
                </c:pt>
                <c:pt idx="33">
                  <c:v>17.3469387755102</c:v>
                </c:pt>
                <c:pt idx="34">
                  <c:v>18.3673469387755</c:v>
                </c:pt>
              </c:numCache>
            </c:numRef>
          </c:xVal>
          <c:yVal>
            <c:numRef>
              <c:f>Lab2!$D$39:$D$57,Lab2!$D$96:$D$114</c:f>
              <c:numCache>
                <c:formatCode>General</c:formatCode>
                <c:ptCount val="38"/>
              </c:numCache>
            </c:numRef>
          </c:yVal>
          <c:smooth val="0"/>
        </c:ser>
        <c:ser>
          <c:idx val="3"/>
          <c:order val="3"/>
          <c:tx>
            <c:strRef>
              <c:f>"Ethane 1.5"</c:f>
              <c:strCache>
                <c:ptCount val="1"/>
                <c:pt idx="0">
                  <c:v>Ethane 1.5</c:v>
                </c:pt>
              </c:strCache>
            </c:strRef>
          </c:tx>
          <c:spPr>
            <a:solidFill>
              <a:srgbClr val="5b9bd5"/>
            </a:solidFill>
            <a:ln w="25560">
              <a:noFill/>
            </a:ln>
          </c:spPr>
          <c:marker>
            <c:symbol val="squar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Lab2!$K$39:$K$57,Lab2!$K$96:$K$114</c:f>
              <c:numCache>
                <c:formatCode>0.000</c:formatCode>
                <c:ptCount val="38"/>
                <c:pt idx="0">
                  <c:v>0.0204081632653061</c:v>
                </c:pt>
                <c:pt idx="1">
                  <c:v>0.102040816326531</c:v>
                </c:pt>
                <c:pt idx="2">
                  <c:v>0.204081632653061</c:v>
                </c:pt>
                <c:pt idx="3">
                  <c:v>0.408163265306122</c:v>
                </c:pt>
                <c:pt idx="4">
                  <c:v>0.612244897959184</c:v>
                </c:pt>
                <c:pt idx="5">
                  <c:v>0.816326530612245</c:v>
                </c:pt>
                <c:pt idx="6">
                  <c:v>1.02040816326531</c:v>
                </c:pt>
                <c:pt idx="7">
                  <c:v>1.22448979591837</c:v>
                </c:pt>
                <c:pt idx="8">
                  <c:v>1.42857142857143</c:v>
                </c:pt>
                <c:pt idx="9">
                  <c:v>1.63265306122449</c:v>
                </c:pt>
                <c:pt idx="10">
                  <c:v>1.83673469387755</c:v>
                </c:pt>
                <c:pt idx="11">
                  <c:v>2.04081632653061</c:v>
                </c:pt>
                <c:pt idx="12">
                  <c:v>2.24489795918367</c:v>
                </c:pt>
                <c:pt idx="13">
                  <c:v>2.44897959183673</c:v>
                </c:pt>
                <c:pt idx="14">
                  <c:v>2.6530612244898</c:v>
                </c:pt>
                <c:pt idx="15">
                  <c:v>2.85714285714286</c:v>
                </c:pt>
                <c:pt idx="16">
                  <c:v>3.06122448979592</c:v>
                </c:pt>
                <c:pt idx="17">
                  <c:v>3.26530612244898</c:v>
                </c:pt>
                <c:pt idx="18">
                  <c:v>3.57142857142857</c:v>
                </c:pt>
                <c:pt idx="19">
                  <c:v>3.57142857142857</c:v>
                </c:pt>
                <c:pt idx="20">
                  <c:v>4.08163265306123</c:v>
                </c:pt>
                <c:pt idx="21">
                  <c:v>5.10204081632653</c:v>
                </c:pt>
                <c:pt idx="22">
                  <c:v>6.12244897959184</c:v>
                </c:pt>
                <c:pt idx="23">
                  <c:v>7.14285714285714</c:v>
                </c:pt>
                <c:pt idx="24">
                  <c:v>8.16326530612245</c:v>
                </c:pt>
                <c:pt idx="25">
                  <c:v>9.18367346938776</c:v>
                </c:pt>
                <c:pt idx="26">
                  <c:v>10.2040816326531</c:v>
                </c:pt>
                <c:pt idx="27">
                  <c:v>11.2244897959184</c:v>
                </c:pt>
                <c:pt idx="28">
                  <c:v>12.2448979591837</c:v>
                </c:pt>
                <c:pt idx="29">
                  <c:v>13.265306122449</c:v>
                </c:pt>
                <c:pt idx="30">
                  <c:v>14.2857142857143</c:v>
                </c:pt>
                <c:pt idx="31">
                  <c:v>15.3061224489796</c:v>
                </c:pt>
                <c:pt idx="32">
                  <c:v>16.3265306122449</c:v>
                </c:pt>
                <c:pt idx="33">
                  <c:v>17.3469387755102</c:v>
                </c:pt>
                <c:pt idx="34">
                  <c:v>18.3673469387755</c:v>
                </c:pt>
              </c:numCache>
            </c:numRef>
          </c:xVal>
          <c:yVal>
            <c:numRef>
              <c:f>Lab2!$J$39:$J$57,Lab2!$J$96:$J$114</c:f>
              <c:numCache>
                <c:formatCode>General</c:formatCode>
                <c:ptCount val="38"/>
              </c:numCache>
            </c:numRef>
          </c:yVal>
          <c:smooth val="0"/>
        </c:ser>
        <c:axId val="98248359"/>
        <c:axId val="61378947"/>
      </c:scatterChart>
      <c:valAx>
        <c:axId val="98248359"/>
        <c:scaling>
          <c:orientation val="minMax"/>
          <c:max val="7"/>
        </c:scaling>
        <c:delete val="1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78947"/>
        <c:crossBetween val="midCat"/>
        <c:majorUnit val="0.5"/>
      </c:valAx>
      <c:valAx>
        <c:axId val="61378947"/>
        <c:scaling>
          <c:orientation val="minMax"/>
          <c:max val="1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48359"/>
        <c:crossBetween val="midCat"/>
        <c:majorUnit val="0.1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58461641555747"/>
          <c:y val="0.292892061406108"/>
          <c:w val="0.120425476341229"/>
          <c:h val="0.38189794861316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1" sz="11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561960</xdr:colOff>
      <xdr:row>16</xdr:row>
      <xdr:rowOff>76680</xdr:rowOff>
    </xdr:from>
    <xdr:to>
      <xdr:col>26</xdr:col>
      <xdr:colOff>498240</xdr:colOff>
      <xdr:row>46</xdr:row>
      <xdr:rowOff>127080</xdr:rowOff>
    </xdr:to>
    <xdr:graphicFrame>
      <xdr:nvGraphicFramePr>
        <xdr:cNvPr id="0" name="Chart 1"/>
        <xdr:cNvGraphicFramePr/>
      </xdr:nvGraphicFramePr>
      <xdr:xfrm>
        <a:off x="9901440" y="3057840"/>
        <a:ext cx="8075880" cy="552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218160</xdr:colOff>
      <xdr:row>19</xdr:row>
      <xdr:rowOff>18360</xdr:rowOff>
    </xdr:from>
    <xdr:to>
      <xdr:col>26</xdr:col>
      <xdr:colOff>317520</xdr:colOff>
      <xdr:row>49</xdr:row>
      <xdr:rowOff>117720</xdr:rowOff>
    </xdr:to>
    <xdr:pic>
      <xdr:nvPicPr>
        <xdr:cNvPr id="1" name="Picture 2" descr=""/>
        <xdr:cNvPicPr/>
      </xdr:nvPicPr>
      <xdr:blipFill>
        <a:blip r:embed="rId2">
          <a:alphaModFix amt="70000"/>
        </a:blip>
        <a:stretch/>
      </xdr:blipFill>
      <xdr:spPr>
        <a:xfrm>
          <a:off x="8931600" y="3542760"/>
          <a:ext cx="8865000" cy="5576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4"/>
  <sheetViews>
    <sheetView showFormulas="false" showGridLines="true" showRowColHeaders="true" showZeros="true" rightToLeft="false" tabSelected="true" showOutlineSymbols="true" defaultGridColor="true" view="normal" topLeftCell="A12" colorId="64" zoomScale="98" zoomScaleNormal="98" zoomScalePageLayoutView="100" workbookViewId="0">
      <selection pane="topLeft" activeCell="N12" activeCellId="0" sqref="N1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12.56"/>
    <col collapsed="false" customWidth="true" hidden="false" outlineLevel="0" max="3" min="2" style="0" width="12.44"/>
    <col collapsed="false" customWidth="true" hidden="false" outlineLevel="0" max="8" min="8" style="0" width="11.56"/>
    <col collapsed="false" customWidth="true" hidden="false" outlineLevel="0" max="9" min="9" style="0" width="12.44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4.25" hidden="false" customHeight="false" outlineLevel="0" collapsed="false">
      <c r="A2" s="2" t="s">
        <v>1</v>
      </c>
      <c r="B2" s="3" t="s">
        <v>2</v>
      </c>
      <c r="E2" s="4"/>
      <c r="G2" s="2" t="s">
        <v>1</v>
      </c>
      <c r="H2" s="3" t="s">
        <v>2</v>
      </c>
      <c r="K2" s="4"/>
      <c r="M2" s="5" t="s">
        <v>3</v>
      </c>
      <c r="N2" s="0" t="n">
        <v>83.14</v>
      </c>
      <c r="O2" s="5" t="s">
        <v>4</v>
      </c>
    </row>
    <row r="3" customFormat="false" ht="14.25" hidden="false" customHeight="false" outlineLevel="0" collapsed="false">
      <c r="A3" s="2" t="s">
        <v>5</v>
      </c>
      <c r="B3" s="0" t="n">
        <v>190.6</v>
      </c>
      <c r="C3" s="5" t="s">
        <v>6</v>
      </c>
      <c r="E3" s="4"/>
      <c r="G3" s="2" t="s">
        <v>5</v>
      </c>
      <c r="H3" s="0" t="n">
        <v>190.6</v>
      </c>
      <c r="I3" s="5" t="s">
        <v>6</v>
      </c>
      <c r="K3" s="4"/>
    </row>
    <row r="4" customFormat="false" ht="14.25" hidden="false" customHeight="false" outlineLevel="0" collapsed="false">
      <c r="A4" s="2" t="s">
        <v>7</v>
      </c>
      <c r="B4" s="0" t="n">
        <v>46.1</v>
      </c>
      <c r="C4" s="5" t="s">
        <v>8</v>
      </c>
      <c r="E4" s="4"/>
      <c r="G4" s="2" t="s">
        <v>7</v>
      </c>
      <c r="H4" s="0" t="n">
        <v>46.1</v>
      </c>
      <c r="I4" s="5" t="s">
        <v>8</v>
      </c>
      <c r="K4" s="4"/>
      <c r="M4" s="6" t="s">
        <v>9</v>
      </c>
    </row>
    <row r="5" customFormat="false" ht="14.25" hidden="false" customHeight="false" outlineLevel="0" collapsed="false">
      <c r="A5" s="2" t="s">
        <v>10</v>
      </c>
      <c r="B5" s="0" t="n">
        <v>1.1</v>
      </c>
      <c r="E5" s="4"/>
      <c r="G5" s="2" t="s">
        <v>10</v>
      </c>
      <c r="H5" s="0" t="n">
        <v>1.5</v>
      </c>
      <c r="K5" s="4"/>
      <c r="M5" s="5" t="s">
        <v>11</v>
      </c>
    </row>
    <row r="6" customFormat="false" ht="14.25" hidden="false" customHeight="false" outlineLevel="0" collapsed="false">
      <c r="A6" s="2" t="s">
        <v>12</v>
      </c>
      <c r="B6" s="5" t="n">
        <f aca="false">B5*B3</f>
        <v>209.66</v>
      </c>
      <c r="C6" s="5" t="s">
        <v>6</v>
      </c>
      <c r="D6" s="5" t="n">
        <f aca="false">B6-273.15</f>
        <v>-63.49</v>
      </c>
      <c r="E6" s="4" t="s">
        <v>13</v>
      </c>
      <c r="G6" s="2" t="s">
        <v>12</v>
      </c>
      <c r="H6" s="5" t="n">
        <f aca="false">H5*H3</f>
        <v>285.9</v>
      </c>
      <c r="I6" s="5" t="s">
        <v>6</v>
      </c>
      <c r="J6" s="5" t="n">
        <f aca="false">H6-273.15</f>
        <v>12.75</v>
      </c>
      <c r="K6" s="4" t="s">
        <v>13</v>
      </c>
      <c r="M6" s="5" t="s">
        <v>14</v>
      </c>
    </row>
    <row r="7" customFormat="false" ht="14.25" hidden="false" customHeight="false" outlineLevel="0" collapsed="false">
      <c r="A7" s="2" t="s">
        <v>15</v>
      </c>
      <c r="B7" s="7"/>
      <c r="C7" s="5" t="s">
        <v>16</v>
      </c>
      <c r="E7" s="4"/>
      <c r="G7" s="2" t="s">
        <v>15</v>
      </c>
      <c r="H7" s="7"/>
      <c r="I7" s="5" t="s">
        <v>16</v>
      </c>
      <c r="K7" s="4"/>
      <c r="M7" s="5" t="s">
        <v>17</v>
      </c>
    </row>
    <row r="8" customFormat="false" ht="15" hidden="false" customHeight="true" outlineLevel="0" collapsed="false">
      <c r="A8" s="8"/>
      <c r="B8" s="9"/>
      <c r="C8" s="9"/>
      <c r="D8" s="9"/>
      <c r="E8" s="10"/>
      <c r="G8" s="8"/>
      <c r="H8" s="9"/>
      <c r="I8" s="9"/>
      <c r="J8" s="9"/>
      <c r="K8" s="10"/>
      <c r="M8" s="5" t="s">
        <v>18</v>
      </c>
    </row>
    <row r="9" customFormat="false" ht="16.5" hidden="false" customHeight="true" outlineLevel="0" collapsed="false">
      <c r="A9" s="11" t="s">
        <v>19</v>
      </c>
      <c r="B9" s="12" t="s">
        <v>20</v>
      </c>
      <c r="C9" s="12" t="s">
        <v>21</v>
      </c>
      <c r="D9" s="12" t="s">
        <v>22</v>
      </c>
      <c r="E9" s="13" t="s">
        <v>23</v>
      </c>
      <c r="G9" s="11" t="s">
        <v>19</v>
      </c>
      <c r="H9" s="12" t="s">
        <v>20</v>
      </c>
      <c r="I9" s="12" t="s">
        <v>21</v>
      </c>
      <c r="J9" s="12" t="s">
        <v>22</v>
      </c>
      <c r="K9" s="13" t="s">
        <v>23</v>
      </c>
      <c r="M9" s="5" t="s">
        <v>24</v>
      </c>
    </row>
    <row r="10" customFormat="false" ht="14.25" hidden="false" customHeight="false" outlineLevel="0" collapsed="false">
      <c r="A10" s="14" t="n">
        <v>1</v>
      </c>
      <c r="B10" s="14"/>
      <c r="C10" s="15" t="n">
        <f aca="false">IF(A10="","",$N$2*$B$6/A10)</f>
        <v>17431.1324</v>
      </c>
      <c r="D10" s="16" t="str">
        <f aca="false">IF(OR(A10="",B10=""),"",B10/C10)</f>
        <v/>
      </c>
      <c r="E10" s="17" t="n">
        <f aca="false">IF(A10="","",A10/$B$4)</f>
        <v>0.0216919739696312</v>
      </c>
      <c r="G10" s="14" t="n">
        <v>1</v>
      </c>
      <c r="H10" s="14"/>
      <c r="I10" s="15" t="n">
        <f aca="false">IF(G10="","",$N$2*$H$6/G10)</f>
        <v>23769.726</v>
      </c>
      <c r="J10" s="16" t="str">
        <f aca="false">IF(OR(G10="",H10=""),"",H10/I10)</f>
        <v/>
      </c>
      <c r="K10" s="17" t="n">
        <f aca="false">IF(G10="","",G10/$H$4)</f>
        <v>0.0216919739696312</v>
      </c>
    </row>
    <row r="11" customFormat="false" ht="14.25" hidden="false" customHeight="false" outlineLevel="0" collapsed="false">
      <c r="A11" s="14" t="n">
        <v>5</v>
      </c>
      <c r="B11" s="14"/>
      <c r="C11" s="15" t="n">
        <f aca="false">IF(A11="","",$N$2*$B$6/A11)</f>
        <v>3486.22648</v>
      </c>
      <c r="D11" s="16" t="str">
        <f aca="false">IF(OR(A11="",B11=""),"",B11/C11)</f>
        <v/>
      </c>
      <c r="E11" s="17" t="n">
        <f aca="false">IF(A11="","",A11/$B$4)</f>
        <v>0.108459869848156</v>
      </c>
      <c r="G11" s="14" t="n">
        <v>5</v>
      </c>
      <c r="H11" s="14"/>
      <c r="I11" s="15" t="n">
        <f aca="false">IF(G11="","",$N$2*$H$6/G11)</f>
        <v>4753.9452</v>
      </c>
      <c r="J11" s="16" t="str">
        <f aca="false">IF(OR(G11="",H11=""),"",H11/I11)</f>
        <v/>
      </c>
      <c r="K11" s="17" t="n">
        <f aca="false">IF(G11="","",G11/$H$4)</f>
        <v>0.108459869848156</v>
      </c>
    </row>
    <row r="12" customFormat="false" ht="14.25" hidden="false" customHeight="false" outlineLevel="0" collapsed="false">
      <c r="A12" s="14" t="n">
        <v>10</v>
      </c>
      <c r="B12" s="14"/>
      <c r="C12" s="15" t="n">
        <f aca="false">IF(A12="","",$N$2*$B$6/A12)</f>
        <v>1743.11324</v>
      </c>
      <c r="D12" s="16" t="str">
        <f aca="false">IF(OR(A12="",B12=""),"",B12/C12)</f>
        <v/>
      </c>
      <c r="E12" s="17" t="n">
        <f aca="false">IF(A12="","",A12/$B$4)</f>
        <v>0.216919739696312</v>
      </c>
      <c r="G12" s="14" t="n">
        <v>10</v>
      </c>
      <c r="H12" s="14"/>
      <c r="I12" s="15" t="n">
        <f aca="false">IF(G12="","",$N$2*$H$6/G12)</f>
        <v>2376.9726</v>
      </c>
      <c r="J12" s="16" t="str">
        <f aca="false">IF(OR(G12="",H12=""),"",H12/I12)</f>
        <v/>
      </c>
      <c r="K12" s="17" t="n">
        <f aca="false">IF(G12="","",G12/$H$4)</f>
        <v>0.216919739696312</v>
      </c>
    </row>
    <row r="13" customFormat="false" ht="14.25" hidden="false" customHeight="false" outlineLevel="0" collapsed="false">
      <c r="A13" s="14" t="n">
        <v>20</v>
      </c>
      <c r="B13" s="14"/>
      <c r="C13" s="15" t="n">
        <f aca="false">IF(A13="","",$N$2*$B$6/A13)</f>
        <v>871.55662</v>
      </c>
      <c r="D13" s="16" t="str">
        <f aca="false">IF(OR(A13="",B13=""),"",B13/C13)</f>
        <v/>
      </c>
      <c r="E13" s="17" t="n">
        <f aca="false">IF(A13="","",A13/$B$4)</f>
        <v>0.433839479392625</v>
      </c>
      <c r="G13" s="14" t="n">
        <v>20</v>
      </c>
      <c r="H13" s="14"/>
      <c r="I13" s="15" t="n">
        <f aca="false">IF(G13="","",$N$2*$H$6/G13)</f>
        <v>1188.4863</v>
      </c>
      <c r="J13" s="16" t="str">
        <f aca="false">IF(OR(G13="",H13=""),"",H13/I13)</f>
        <v/>
      </c>
      <c r="K13" s="17" t="n">
        <f aca="false">IF(G13="","",G13/$H$4)</f>
        <v>0.433839479392625</v>
      </c>
    </row>
    <row r="14" customFormat="false" ht="14.25" hidden="false" customHeight="false" outlineLevel="0" collapsed="false">
      <c r="A14" s="14" t="n">
        <v>30</v>
      </c>
      <c r="B14" s="14"/>
      <c r="C14" s="15" t="n">
        <f aca="false">IF(A14="","",$N$2*$B$6/A14)</f>
        <v>581.037746666667</v>
      </c>
      <c r="D14" s="16" t="str">
        <f aca="false">IF(OR(A14="",B14=""),"",B14/C14)</f>
        <v/>
      </c>
      <c r="E14" s="17" t="n">
        <f aca="false">IF(A14="","",A14/$B$4)</f>
        <v>0.650759219088937</v>
      </c>
      <c r="G14" s="14" t="n">
        <v>30</v>
      </c>
      <c r="H14" s="14"/>
      <c r="I14" s="15" t="n">
        <f aca="false">IF(G14="","",$N$2*$H$6/G14)</f>
        <v>792.3242</v>
      </c>
      <c r="J14" s="16" t="str">
        <f aca="false">IF(OR(G14="",H14=""),"",H14/I14)</f>
        <v/>
      </c>
      <c r="K14" s="17" t="n">
        <f aca="false">IF(G14="","",G14/$H$4)</f>
        <v>0.650759219088937</v>
      </c>
    </row>
    <row r="15" customFormat="false" ht="14.25" hidden="false" customHeight="false" outlineLevel="0" collapsed="false">
      <c r="A15" s="14" t="n">
        <v>40</v>
      </c>
      <c r="B15" s="14"/>
      <c r="C15" s="15" t="n">
        <f aca="false">IF(A15="","",$N$2*$B$6/A15)</f>
        <v>435.77831</v>
      </c>
      <c r="D15" s="16" t="str">
        <f aca="false">IF(OR(A15="",B15=""),"",B15/C15)</f>
        <v/>
      </c>
      <c r="E15" s="17" t="n">
        <f aca="false">IF(A15="","",A15/$B$4)</f>
        <v>0.86767895878525</v>
      </c>
      <c r="G15" s="14" t="n">
        <v>40</v>
      </c>
      <c r="H15" s="14"/>
      <c r="I15" s="15" t="n">
        <f aca="false">IF(G15="","",$N$2*$H$6/G15)</f>
        <v>594.24315</v>
      </c>
      <c r="J15" s="16" t="str">
        <f aca="false">IF(OR(G15="",H15=""),"",H15/I15)</f>
        <v/>
      </c>
      <c r="K15" s="17" t="n">
        <f aca="false">IF(G15="","",G15/$H$4)</f>
        <v>0.86767895878525</v>
      </c>
    </row>
    <row r="16" customFormat="false" ht="14.25" hidden="false" customHeight="false" outlineLevel="0" collapsed="false">
      <c r="A16" s="18" t="n">
        <v>50</v>
      </c>
      <c r="B16" s="18"/>
      <c r="C16" s="19" t="n">
        <f aca="false">IF(A16="","",$N$2*$B$6/A16)</f>
        <v>348.622648</v>
      </c>
      <c r="D16" s="20" t="str">
        <f aca="false">IF(OR(A16="",B16=""),"",B16/C16)</f>
        <v/>
      </c>
      <c r="E16" s="21" t="n">
        <f aca="false">IF(A16="","",A16/$B$4)</f>
        <v>1.08459869848156</v>
      </c>
      <c r="G16" s="18" t="n">
        <v>50</v>
      </c>
      <c r="H16" s="18"/>
      <c r="I16" s="19" t="n">
        <f aca="false">IF(G16="","",$N$2*$H$6/G16)</f>
        <v>475.39452</v>
      </c>
      <c r="J16" s="20" t="str">
        <f aca="false">IF(OR(G16="",H16=""),"",H16/I16)</f>
        <v/>
      </c>
      <c r="K16" s="21" t="n">
        <f aca="false">IF(G16="","",G16/$H$4)</f>
        <v>1.08459869848156</v>
      </c>
    </row>
    <row r="17" customFormat="false" ht="14.25" hidden="false" customHeight="false" outlineLevel="0" collapsed="false">
      <c r="A17" s="18" t="n">
        <v>60</v>
      </c>
      <c r="B17" s="18"/>
      <c r="C17" s="19" t="n">
        <f aca="false">IF(A17="","",$N$2*$B$6/A17)</f>
        <v>290.518873333333</v>
      </c>
      <c r="D17" s="20" t="str">
        <f aca="false">IF(OR(A17="",B17=""),"",B17/C17)</f>
        <v/>
      </c>
      <c r="E17" s="21" t="n">
        <f aca="false">IF(A17="","",A17/$B$4)</f>
        <v>1.30151843817787</v>
      </c>
      <c r="G17" s="18" t="n">
        <v>60</v>
      </c>
      <c r="H17" s="18"/>
      <c r="I17" s="19" t="n">
        <f aca="false">IF(G17="","",$N$2*$H$6/G17)</f>
        <v>396.1621</v>
      </c>
      <c r="J17" s="20" t="str">
        <f aca="false">IF(OR(G17="",H17=""),"",H17/I17)</f>
        <v/>
      </c>
      <c r="K17" s="21" t="n">
        <f aca="false">IF(G17="","",G17/$H$4)</f>
        <v>1.30151843817787</v>
      </c>
    </row>
    <row r="18" customFormat="false" ht="14.25" hidden="false" customHeight="false" outlineLevel="0" collapsed="false">
      <c r="A18" s="18" t="n">
        <v>70</v>
      </c>
      <c r="B18" s="18"/>
      <c r="C18" s="19" t="n">
        <f aca="false">IF(A18="","",$N$2*$B$6/A18)</f>
        <v>249.016177142857</v>
      </c>
      <c r="D18" s="20" t="str">
        <f aca="false">IF(OR(A18="",B18=""),"",B18/C18)</f>
        <v/>
      </c>
      <c r="E18" s="21" t="n">
        <f aca="false">IF(A18="","",A18/$B$4)</f>
        <v>1.51843817787419</v>
      </c>
      <c r="G18" s="18" t="n">
        <v>70</v>
      </c>
      <c r="H18" s="18"/>
      <c r="I18" s="19" t="n">
        <f aca="false">IF(G18="","",$N$2*$H$6/G18)</f>
        <v>339.567514285714</v>
      </c>
      <c r="J18" s="20" t="str">
        <f aca="false">IF(OR(G18="",H18=""),"",H18/I18)</f>
        <v/>
      </c>
      <c r="K18" s="21" t="n">
        <f aca="false">IF(G18="","",G18/$H$4)</f>
        <v>1.51843817787419</v>
      </c>
    </row>
    <row r="19" customFormat="false" ht="14.25" hidden="false" customHeight="false" outlineLevel="0" collapsed="false">
      <c r="A19" s="18" t="n">
        <v>80</v>
      </c>
      <c r="B19" s="18"/>
      <c r="C19" s="19" t="n">
        <f aca="false">IF(A19="","",$N$2*$B$6/A19)</f>
        <v>217.889155</v>
      </c>
      <c r="D19" s="20" t="str">
        <f aca="false">IF(OR(A19="",B19=""),"",B19/C19)</f>
        <v/>
      </c>
      <c r="E19" s="21" t="n">
        <f aca="false">IF(A19="","",A19/$B$4)</f>
        <v>1.7353579175705</v>
      </c>
      <c r="G19" s="18" t="n">
        <v>80</v>
      </c>
      <c r="H19" s="18"/>
      <c r="I19" s="19" t="n">
        <f aca="false">IF(G19="","",$N$2*$H$6/G19)</f>
        <v>297.121575</v>
      </c>
      <c r="J19" s="20" t="str">
        <f aca="false">IF(OR(G19="",H19=""),"",H19/I19)</f>
        <v/>
      </c>
      <c r="K19" s="21" t="n">
        <f aca="false">IF(G19="","",G19/$H$4)</f>
        <v>1.7353579175705</v>
      </c>
    </row>
    <row r="20" customFormat="false" ht="14.25" hidden="false" customHeight="false" outlineLevel="0" collapsed="false">
      <c r="A20" s="18" t="n">
        <v>90</v>
      </c>
      <c r="B20" s="18"/>
      <c r="C20" s="19" t="n">
        <f aca="false">IF(A20="","",$N$2*$B$6/A20)</f>
        <v>193.679248888889</v>
      </c>
      <c r="D20" s="20" t="str">
        <f aca="false">IF(OR(A20="",B20=""),"",B20/C20)</f>
        <v/>
      </c>
      <c r="E20" s="21" t="n">
        <f aca="false">IF(A20="","",A20/$B$4)</f>
        <v>1.95227765726681</v>
      </c>
      <c r="G20" s="18" t="n">
        <v>90</v>
      </c>
      <c r="H20" s="18"/>
      <c r="I20" s="19" t="n">
        <f aca="false">IF(G20="","",$N$2*$H$6/G20)</f>
        <v>264.108066666667</v>
      </c>
      <c r="J20" s="20" t="str">
        <f aca="false">IF(OR(G20="",H20=""),"",H20/I20)</f>
        <v/>
      </c>
      <c r="K20" s="21" t="n">
        <f aca="false">IF(G20="","",G20/$H$4)</f>
        <v>1.95227765726681</v>
      </c>
    </row>
    <row r="21" customFormat="false" ht="14.25" hidden="false" customHeight="false" outlineLevel="0" collapsed="false">
      <c r="A21" s="18" t="n">
        <v>100</v>
      </c>
      <c r="B21" s="18"/>
      <c r="C21" s="19" t="n">
        <f aca="false">IF(A21="","",$N$2*$B$6/A21)</f>
        <v>174.311324</v>
      </c>
      <c r="D21" s="20" t="str">
        <f aca="false">IF(OR(A21="",B21=""),"",B21/C21)</f>
        <v/>
      </c>
      <c r="E21" s="21" t="n">
        <f aca="false">IF(A21="","",A21/$B$4)</f>
        <v>2.16919739696312</v>
      </c>
      <c r="G21" s="18" t="n">
        <v>100</v>
      </c>
      <c r="H21" s="18"/>
      <c r="I21" s="19" t="n">
        <f aca="false">IF(G21="","",$N$2*$H$6/G21)</f>
        <v>237.69726</v>
      </c>
      <c r="J21" s="20" t="str">
        <f aca="false">IF(OR(G21="",H21=""),"",H21/I21)</f>
        <v/>
      </c>
      <c r="K21" s="21" t="n">
        <f aca="false">IF(G21="","",G21/$H$4)</f>
        <v>2.16919739696312</v>
      </c>
    </row>
    <row r="22" customFormat="false" ht="14.25" hidden="false" customHeight="false" outlineLevel="0" collapsed="false">
      <c r="A22" s="18" t="n">
        <v>110</v>
      </c>
      <c r="B22" s="18"/>
      <c r="C22" s="19" t="n">
        <f aca="false">IF(A22="","",$N$2*$B$6/A22)</f>
        <v>158.46484</v>
      </c>
      <c r="D22" s="20" t="str">
        <f aca="false">IF(OR(A22="",B22=""),"",B22/C22)</f>
        <v/>
      </c>
      <c r="E22" s="21" t="n">
        <f aca="false">IF(A22="","",A22/$B$4)</f>
        <v>2.38611713665944</v>
      </c>
      <c r="G22" s="18" t="n">
        <v>110</v>
      </c>
      <c r="H22" s="18"/>
      <c r="I22" s="19" t="n">
        <f aca="false">IF(G22="","",$N$2*$H$6/G22)</f>
        <v>216.088418181818</v>
      </c>
      <c r="J22" s="20" t="str">
        <f aca="false">IF(OR(G22="",H22=""),"",H22/I22)</f>
        <v/>
      </c>
      <c r="K22" s="21" t="n">
        <f aca="false">IF(G22="","",G22/$H$4)</f>
        <v>2.38611713665944</v>
      </c>
    </row>
    <row r="23" customFormat="false" ht="14.25" hidden="false" customHeight="false" outlineLevel="0" collapsed="false">
      <c r="A23" s="18" t="n">
        <v>120</v>
      </c>
      <c r="B23" s="18"/>
      <c r="C23" s="19" t="n">
        <f aca="false">IF(A23="","",$N$2*$B$6/A23)</f>
        <v>145.259436666667</v>
      </c>
      <c r="D23" s="20" t="str">
        <f aca="false">IF(OR(A23="",B23=""),"",B23/C23)</f>
        <v/>
      </c>
      <c r="E23" s="21" t="n">
        <f aca="false">IF(A23="","",A23/$B$4)</f>
        <v>2.60303687635575</v>
      </c>
      <c r="G23" s="18" t="n">
        <v>120</v>
      </c>
      <c r="H23" s="18"/>
      <c r="I23" s="19" t="n">
        <f aca="false">IF(G23="","",$N$2*$H$6/G23)</f>
        <v>198.08105</v>
      </c>
      <c r="J23" s="20" t="str">
        <f aca="false">IF(OR(G23="",H23=""),"",H23/I23)</f>
        <v/>
      </c>
      <c r="K23" s="21" t="n">
        <f aca="false">IF(G23="","",G23/$H$4)</f>
        <v>2.60303687635575</v>
      </c>
    </row>
    <row r="24" customFormat="false" ht="14.25" hidden="false" customHeight="false" outlineLevel="0" collapsed="false">
      <c r="A24" s="18" t="n">
        <v>130</v>
      </c>
      <c r="B24" s="18"/>
      <c r="C24" s="19" t="n">
        <f aca="false">IF(A24="","",$N$2*$B$6/A24)</f>
        <v>134.085633846154</v>
      </c>
      <c r="D24" s="20" t="str">
        <f aca="false">IF(OR(A24="",B24=""),"",B24/C24)</f>
        <v/>
      </c>
      <c r="E24" s="21" t="n">
        <f aca="false">IF(A24="","",A24/$B$4)</f>
        <v>2.81995661605206</v>
      </c>
      <c r="G24" s="18" t="n">
        <v>130</v>
      </c>
      <c r="H24" s="18"/>
      <c r="I24" s="19" t="n">
        <f aca="false">IF(G24="","",$N$2*$H$6/G24)</f>
        <v>182.844046153846</v>
      </c>
      <c r="J24" s="20" t="str">
        <f aca="false">IF(OR(G24="",H24=""),"",H24/I24)</f>
        <v/>
      </c>
      <c r="K24" s="21" t="n">
        <f aca="false">IF(G24="","",G24/$H$4)</f>
        <v>2.81995661605206</v>
      </c>
    </row>
    <row r="25" customFormat="false" ht="14.25" hidden="false" customHeight="false" outlineLevel="0" collapsed="false">
      <c r="A25" s="18" t="n">
        <v>140</v>
      </c>
      <c r="B25" s="18"/>
      <c r="C25" s="19" t="n">
        <f aca="false">IF(A25="","",$N$2*$B$6/A25)</f>
        <v>124.508088571429</v>
      </c>
      <c r="D25" s="20" t="str">
        <f aca="false">IF(OR(A25="",B25=""),"",B25/C25)</f>
        <v/>
      </c>
      <c r="E25" s="21" t="n">
        <f aca="false">IF(A25="","",A25/$B$4)</f>
        <v>3.03687635574837</v>
      </c>
      <c r="G25" s="18" t="n">
        <v>140</v>
      </c>
      <c r="H25" s="18"/>
      <c r="I25" s="19" t="n">
        <f aca="false">IF(G25="","",$N$2*$H$6/G25)</f>
        <v>169.783757142857</v>
      </c>
      <c r="J25" s="20" t="str">
        <f aca="false">IF(OR(G25="",H25=""),"",H25/I25)</f>
        <v/>
      </c>
      <c r="K25" s="21" t="n">
        <f aca="false">IF(G25="","",G25/$H$4)</f>
        <v>3.03687635574837</v>
      </c>
    </row>
    <row r="26" customFormat="false" ht="14.25" hidden="false" customHeight="false" outlineLevel="0" collapsed="false">
      <c r="A26" s="18" t="n">
        <v>150</v>
      </c>
      <c r="B26" s="18"/>
      <c r="C26" s="19" t="n">
        <f aca="false">IF(A26="","",$N$2*$B$6/A26)</f>
        <v>116.207549333333</v>
      </c>
      <c r="D26" s="20" t="str">
        <f aca="false">IF(OR(A26="",B26=""),"",B26/C26)</f>
        <v/>
      </c>
      <c r="E26" s="21" t="n">
        <f aca="false">IF(A26="","",A26/$B$4)</f>
        <v>3.25379609544469</v>
      </c>
      <c r="G26" s="18" t="n">
        <v>150</v>
      </c>
      <c r="H26" s="18"/>
      <c r="I26" s="19" t="n">
        <f aca="false">IF(G26="","",$N$2*$H$6/G26)</f>
        <v>158.46484</v>
      </c>
      <c r="J26" s="20" t="str">
        <f aca="false">IF(OR(G26="",H26=""),"",H26/I26)</f>
        <v/>
      </c>
      <c r="K26" s="21" t="n">
        <f aca="false">IF(G26="","",G26/$H$4)</f>
        <v>3.25379609544469</v>
      </c>
    </row>
    <row r="27" customFormat="false" ht="14.25" hidden="false" customHeight="false" outlineLevel="0" collapsed="false">
      <c r="A27" s="18" t="n">
        <v>160</v>
      </c>
      <c r="B27" s="18"/>
      <c r="C27" s="19" t="n">
        <f aca="false">IF(A27="","",$N$2*$B$6/A27)</f>
        <v>108.9445775</v>
      </c>
      <c r="D27" s="20" t="str">
        <f aca="false">IF(OR(A27="",B27=""),"",B27/C27)</f>
        <v/>
      </c>
      <c r="E27" s="21" t="n">
        <f aca="false">IF(A27="","",A27/$B$4)</f>
        <v>3.470715835141</v>
      </c>
      <c r="G27" s="18" t="n">
        <v>160</v>
      </c>
      <c r="H27" s="18"/>
      <c r="I27" s="19" t="n">
        <f aca="false">IF(G27="","",$N$2*$H$6/G27)</f>
        <v>148.5607875</v>
      </c>
      <c r="J27" s="20" t="str">
        <f aca="false">IF(OR(G27="",H27=""),"",H27/I27)</f>
        <v/>
      </c>
      <c r="K27" s="21" t="n">
        <f aca="false">IF(G27="","",G27/$H$4)</f>
        <v>3.470715835141</v>
      </c>
    </row>
    <row r="28" customFormat="false" ht="14.25" hidden="false" customHeight="false" outlineLevel="0" collapsed="false">
      <c r="A28" s="22" t="n">
        <v>175</v>
      </c>
      <c r="B28" s="22"/>
      <c r="C28" s="23" t="n">
        <f aca="false">IF(A28="","",$N$2*$B$6/A28)</f>
        <v>99.6064708571429</v>
      </c>
      <c r="D28" s="24" t="str">
        <f aca="false">IF(OR(A28="",B28=""),"",B28/C28)</f>
        <v/>
      </c>
      <c r="E28" s="25" t="n">
        <f aca="false">IF(A28="","",A28/$B$4)</f>
        <v>3.79609544468547</v>
      </c>
      <c r="G28" s="22" t="n">
        <v>175</v>
      </c>
      <c r="H28" s="22"/>
      <c r="I28" s="23" t="n">
        <f aca="false">IF(G28="","",$N$2*$H$6/G28)</f>
        <v>135.827005714286</v>
      </c>
      <c r="J28" s="24" t="str">
        <f aca="false">IF(OR(G28="",H28=""),"",H28/I28)</f>
        <v/>
      </c>
      <c r="K28" s="25" t="n">
        <f aca="false">IF(G28="","",G28/$H$4)</f>
        <v>3.79609544468547</v>
      </c>
    </row>
    <row r="30" customFormat="false" ht="15" hidden="false" customHeight="true" outlineLevel="0" collapsed="false"/>
    <row r="31" customFormat="false" ht="14.25" hidden="false" customHeight="false" outlineLevel="0" collapsed="false">
      <c r="A31" s="26" t="s">
        <v>1</v>
      </c>
      <c r="B31" s="27" t="s">
        <v>25</v>
      </c>
      <c r="C31" s="28"/>
      <c r="D31" s="28"/>
      <c r="E31" s="29"/>
      <c r="G31" s="26" t="s">
        <v>1</v>
      </c>
      <c r="H31" s="27" t="s">
        <v>25</v>
      </c>
      <c r="I31" s="28"/>
      <c r="J31" s="28"/>
      <c r="K31" s="29"/>
    </row>
    <row r="32" customFormat="false" ht="14.25" hidden="false" customHeight="false" outlineLevel="0" collapsed="false">
      <c r="A32" s="2" t="s">
        <v>5</v>
      </c>
      <c r="B32" s="0" t="n">
        <v>305.3</v>
      </c>
      <c r="C32" s="5" t="s">
        <v>6</v>
      </c>
      <c r="E32" s="4"/>
      <c r="G32" s="2" t="s">
        <v>5</v>
      </c>
      <c r="H32" s="0" t="n">
        <v>305.3</v>
      </c>
      <c r="I32" s="5" t="s">
        <v>6</v>
      </c>
      <c r="K32" s="4"/>
    </row>
    <row r="33" customFormat="false" ht="14.25" hidden="false" customHeight="false" outlineLevel="0" collapsed="false">
      <c r="A33" s="2" t="s">
        <v>7</v>
      </c>
      <c r="B33" s="0" t="n">
        <v>49</v>
      </c>
      <c r="C33" s="5" t="s">
        <v>8</v>
      </c>
      <c r="E33" s="4"/>
      <c r="G33" s="2" t="s">
        <v>7</v>
      </c>
      <c r="H33" s="0" t="n">
        <v>49</v>
      </c>
      <c r="I33" s="5" t="s">
        <v>8</v>
      </c>
      <c r="K33" s="4"/>
    </row>
    <row r="34" customFormat="false" ht="14.25" hidden="false" customHeight="false" outlineLevel="0" collapsed="false">
      <c r="A34" s="2" t="s">
        <v>10</v>
      </c>
      <c r="B34" s="0" t="n">
        <v>1.1</v>
      </c>
      <c r="E34" s="4"/>
      <c r="G34" s="2" t="s">
        <v>10</v>
      </c>
      <c r="H34" s="0" t="n">
        <v>1.5</v>
      </c>
      <c r="K34" s="4"/>
    </row>
    <row r="35" customFormat="false" ht="14.25" hidden="false" customHeight="false" outlineLevel="0" collapsed="false">
      <c r="A35" s="2" t="s">
        <v>12</v>
      </c>
      <c r="B35" s="5" t="n">
        <f aca="false">B34*B32</f>
        <v>335.83</v>
      </c>
      <c r="C35" s="5" t="s">
        <v>6</v>
      </c>
      <c r="D35" s="5" t="n">
        <f aca="false">B35-273.15</f>
        <v>62.6800000000001</v>
      </c>
      <c r="E35" s="4" t="s">
        <v>13</v>
      </c>
      <c r="G35" s="2" t="s">
        <v>12</v>
      </c>
      <c r="H35" s="5" t="n">
        <f aca="false">H34*H32</f>
        <v>457.95</v>
      </c>
      <c r="I35" s="5" t="s">
        <v>6</v>
      </c>
      <c r="J35" s="5" t="n">
        <f aca="false">H35-273.15</f>
        <v>184.8</v>
      </c>
      <c r="K35" s="4" t="s">
        <v>13</v>
      </c>
    </row>
    <row r="36" customFormat="false" ht="14.25" hidden="false" customHeight="false" outlineLevel="0" collapsed="false">
      <c r="A36" s="2" t="s">
        <v>15</v>
      </c>
      <c r="B36" s="7"/>
      <c r="C36" s="5" t="s">
        <v>16</v>
      </c>
      <c r="E36" s="4"/>
      <c r="G36" s="2" t="s">
        <v>15</v>
      </c>
      <c r="H36" s="7"/>
      <c r="I36" s="5" t="s">
        <v>16</v>
      </c>
      <c r="K36" s="4"/>
    </row>
    <row r="37" customFormat="false" ht="15" hidden="false" customHeight="true" outlineLevel="0" collapsed="false">
      <c r="A37" s="8"/>
      <c r="B37" s="9"/>
      <c r="C37" s="9"/>
      <c r="D37" s="9"/>
      <c r="E37" s="10"/>
      <c r="G37" s="8"/>
      <c r="H37" s="9"/>
      <c r="I37" s="9"/>
      <c r="J37" s="9"/>
      <c r="K37" s="10"/>
    </row>
    <row r="38" customFormat="false" ht="16.5" hidden="false" customHeight="true" outlineLevel="0" collapsed="false">
      <c r="A38" s="11" t="s">
        <v>19</v>
      </c>
      <c r="B38" s="12" t="s">
        <v>20</v>
      </c>
      <c r="C38" s="12" t="s">
        <v>21</v>
      </c>
      <c r="D38" s="12" t="s">
        <v>22</v>
      </c>
      <c r="E38" s="13" t="s">
        <v>23</v>
      </c>
      <c r="G38" s="11" t="s">
        <v>19</v>
      </c>
      <c r="H38" s="12" t="s">
        <v>20</v>
      </c>
      <c r="I38" s="12" t="s">
        <v>21</v>
      </c>
      <c r="J38" s="12" t="s">
        <v>22</v>
      </c>
      <c r="K38" s="13" t="s">
        <v>23</v>
      </c>
    </row>
    <row r="39" customFormat="false" ht="14.25" hidden="false" customHeight="false" outlineLevel="0" collapsed="false">
      <c r="A39" s="14" t="n">
        <v>1</v>
      </c>
      <c r="B39" s="14"/>
      <c r="C39" s="15" t="n">
        <f aca="false">IF(A39="","",$N$2*$B$35/A39)</f>
        <v>27920.9062</v>
      </c>
      <c r="D39" s="16" t="str">
        <f aca="false">IF(OR(A39="",B39=""),"",B39/C39)</f>
        <v/>
      </c>
      <c r="E39" s="17" t="n">
        <f aca="false">IF(A39="","",A39/$B$33)</f>
        <v>0.0204081632653061</v>
      </c>
      <c r="G39" s="14" t="n">
        <v>1</v>
      </c>
      <c r="H39" s="14"/>
      <c r="I39" s="15" t="n">
        <f aca="false">IF(G39="","",$N$2*$H$35/G39)</f>
        <v>38073.963</v>
      </c>
      <c r="J39" s="16" t="str">
        <f aca="false">IF(OR(G39="",H39=""),"",H39/I39)</f>
        <v/>
      </c>
      <c r="K39" s="17" t="n">
        <f aca="false">IF(G39="","",G39/$H$33)</f>
        <v>0.0204081632653061</v>
      </c>
    </row>
    <row r="40" customFormat="false" ht="14.25" hidden="false" customHeight="false" outlineLevel="0" collapsed="false">
      <c r="A40" s="14" t="n">
        <v>5</v>
      </c>
      <c r="B40" s="14"/>
      <c r="C40" s="15" t="n">
        <f aca="false">IF(A40="","",$N$2*$B$35/A40)</f>
        <v>5584.18124</v>
      </c>
      <c r="D40" s="16" t="str">
        <f aca="false">IF(OR(A40="",B40=""),"",B40/C40)</f>
        <v/>
      </c>
      <c r="E40" s="17" t="n">
        <f aca="false">IF(A40="","",A40/$B$33)</f>
        <v>0.102040816326531</v>
      </c>
      <c r="G40" s="14" t="n">
        <v>5</v>
      </c>
      <c r="H40" s="14"/>
      <c r="I40" s="15" t="n">
        <f aca="false">IF(G40="","",$N$2*$H$35/G40)</f>
        <v>7614.7926</v>
      </c>
      <c r="J40" s="16" t="str">
        <f aca="false">IF(OR(G40="",H40=""),"",H40/I40)</f>
        <v/>
      </c>
      <c r="K40" s="17" t="n">
        <f aca="false">IF(G40="","",G40/$H$33)</f>
        <v>0.102040816326531</v>
      </c>
    </row>
    <row r="41" customFormat="false" ht="14.25" hidden="false" customHeight="false" outlineLevel="0" collapsed="false">
      <c r="A41" s="14" t="n">
        <v>10</v>
      </c>
      <c r="B41" s="14"/>
      <c r="C41" s="15" t="n">
        <f aca="false">IF(A41="","",$N$2*$B$35/A41)</f>
        <v>2792.09062</v>
      </c>
      <c r="D41" s="16" t="str">
        <f aca="false">IF(OR(A41="",B41=""),"",B41/C41)</f>
        <v/>
      </c>
      <c r="E41" s="17" t="n">
        <f aca="false">IF(A41="","",A41/$B$33)</f>
        <v>0.204081632653061</v>
      </c>
      <c r="G41" s="14" t="n">
        <v>10</v>
      </c>
      <c r="H41" s="14"/>
      <c r="I41" s="15" t="n">
        <f aca="false">IF(G41="","",$N$2*$H$35/G41)</f>
        <v>3807.3963</v>
      </c>
      <c r="J41" s="16" t="str">
        <f aca="false">IF(OR(G41="",H41=""),"",H41/I41)</f>
        <v/>
      </c>
      <c r="K41" s="17" t="n">
        <f aca="false">IF(G41="","",G41/$H$33)</f>
        <v>0.204081632653061</v>
      </c>
    </row>
    <row r="42" customFormat="false" ht="14.25" hidden="false" customHeight="false" outlineLevel="0" collapsed="false">
      <c r="A42" s="14" t="n">
        <v>20</v>
      </c>
      <c r="B42" s="14"/>
      <c r="C42" s="15" t="n">
        <f aca="false">IF(A42="","",$N$2*$B$35/A42)</f>
        <v>1396.04531</v>
      </c>
      <c r="D42" s="16" t="str">
        <f aca="false">IF(OR(A42="",B42=""),"",B42/C42)</f>
        <v/>
      </c>
      <c r="E42" s="17" t="n">
        <f aca="false">IF(A42="","",A42/$B$33)</f>
        <v>0.408163265306122</v>
      </c>
      <c r="G42" s="14" t="n">
        <v>20</v>
      </c>
      <c r="H42" s="14"/>
      <c r="I42" s="15" t="n">
        <f aca="false">IF(G42="","",$N$2*$H$35/G42)</f>
        <v>1903.69815</v>
      </c>
      <c r="J42" s="16" t="str">
        <f aca="false">IF(OR(G42="",H42=""),"",H42/I42)</f>
        <v/>
      </c>
      <c r="K42" s="17" t="n">
        <f aca="false">IF(G42="","",G42/$H$33)</f>
        <v>0.408163265306122</v>
      </c>
    </row>
    <row r="43" customFormat="false" ht="14.25" hidden="false" customHeight="false" outlineLevel="0" collapsed="false">
      <c r="A43" s="14" t="n">
        <v>30</v>
      </c>
      <c r="B43" s="14"/>
      <c r="C43" s="15" t="n">
        <f aca="false">IF(A43="","",$N$2*$B$35/A43)</f>
        <v>930.696873333334</v>
      </c>
      <c r="D43" s="16" t="str">
        <f aca="false">IF(OR(A43="",B43=""),"",B43/C43)</f>
        <v/>
      </c>
      <c r="E43" s="17" t="n">
        <f aca="false">IF(A43="","",A43/$B$33)</f>
        <v>0.612244897959184</v>
      </c>
      <c r="G43" s="14" t="n">
        <v>30</v>
      </c>
      <c r="H43" s="14"/>
      <c r="I43" s="15" t="n">
        <f aca="false">IF(G43="","",$N$2*$H$35/G43)</f>
        <v>1269.1321</v>
      </c>
      <c r="J43" s="16" t="str">
        <f aca="false">IF(OR(G43="",H43=""),"",H43/I43)</f>
        <v/>
      </c>
      <c r="K43" s="17" t="n">
        <f aca="false">IF(G43="","",G43/$H$33)</f>
        <v>0.612244897959184</v>
      </c>
    </row>
    <row r="44" customFormat="false" ht="14.25" hidden="false" customHeight="false" outlineLevel="0" collapsed="false">
      <c r="A44" s="14" t="n">
        <v>40</v>
      </c>
      <c r="B44" s="14"/>
      <c r="C44" s="15" t="n">
        <f aca="false">IF(A44="","",$N$2*$B$35/A44)</f>
        <v>698.022655</v>
      </c>
      <c r="D44" s="16" t="str">
        <f aca="false">IF(OR(A44="",B44=""),"",B44/C44)</f>
        <v/>
      </c>
      <c r="E44" s="17" t="n">
        <f aca="false">IF(A44="","",A44/$B$33)</f>
        <v>0.816326530612245</v>
      </c>
      <c r="G44" s="14" t="n">
        <v>40</v>
      </c>
      <c r="H44" s="14"/>
      <c r="I44" s="15" t="n">
        <f aca="false">IF(G44="","",$N$2*$H$35/G44)</f>
        <v>951.849075</v>
      </c>
      <c r="J44" s="16" t="str">
        <f aca="false">IF(OR(G44="",H44=""),"",H44/I44)</f>
        <v/>
      </c>
      <c r="K44" s="17" t="n">
        <f aca="false">IF(G44="","",G44/$H$33)</f>
        <v>0.816326530612245</v>
      </c>
    </row>
    <row r="45" customFormat="false" ht="14.25" hidden="false" customHeight="false" outlineLevel="0" collapsed="false">
      <c r="A45" s="18" t="n">
        <v>50</v>
      </c>
      <c r="B45" s="18"/>
      <c r="C45" s="19" t="n">
        <f aca="false">IF(A45="","",$N$2*$B$35/A45)</f>
        <v>558.418124</v>
      </c>
      <c r="D45" s="20" t="str">
        <f aca="false">IF(OR(A45="",B45=""),"",B45/C45)</f>
        <v/>
      </c>
      <c r="E45" s="21" t="n">
        <f aca="false">IF(A45="","",A45/$B$33)</f>
        <v>1.02040816326531</v>
      </c>
      <c r="G45" s="18" t="n">
        <v>50</v>
      </c>
      <c r="H45" s="18"/>
      <c r="I45" s="19" t="n">
        <f aca="false">IF(G45="","",$N$2*$H$35/G45)</f>
        <v>761.47926</v>
      </c>
      <c r="J45" s="20" t="str">
        <f aca="false">IF(OR(G45="",H45=""),"",H45/I45)</f>
        <v/>
      </c>
      <c r="K45" s="21" t="n">
        <f aca="false">IF(G45="","",G45/$H$33)</f>
        <v>1.02040816326531</v>
      </c>
    </row>
    <row r="46" customFormat="false" ht="14.25" hidden="false" customHeight="false" outlineLevel="0" collapsed="false">
      <c r="A46" s="18" t="n">
        <v>60</v>
      </c>
      <c r="B46" s="18"/>
      <c r="C46" s="19" t="n">
        <f aca="false">IF(A46="","",$N$2*$B$35/A46)</f>
        <v>465.348436666667</v>
      </c>
      <c r="D46" s="20" t="str">
        <f aca="false">IF(OR(A46="",B46=""),"",B46/C46)</f>
        <v/>
      </c>
      <c r="E46" s="21" t="n">
        <f aca="false">IF(A46="","",A46/$B$33)</f>
        <v>1.22448979591837</v>
      </c>
      <c r="G46" s="18" t="n">
        <v>60</v>
      </c>
      <c r="H46" s="18"/>
      <c r="I46" s="19" t="n">
        <f aca="false">IF(G46="","",$N$2*$H$35/G46)</f>
        <v>634.56605</v>
      </c>
      <c r="J46" s="20" t="str">
        <f aca="false">IF(OR(G46="",H46=""),"",H46/I46)</f>
        <v/>
      </c>
      <c r="K46" s="21" t="n">
        <f aca="false">IF(G46="","",G46/$H$33)</f>
        <v>1.22448979591837</v>
      </c>
    </row>
    <row r="47" customFormat="false" ht="14.25" hidden="false" customHeight="false" outlineLevel="0" collapsed="false">
      <c r="A47" s="18" t="n">
        <v>70</v>
      </c>
      <c r="B47" s="18"/>
      <c r="C47" s="19" t="n">
        <f aca="false">IF(A47="","",$N$2*$B$35/A47)</f>
        <v>398.870088571429</v>
      </c>
      <c r="D47" s="20" t="str">
        <f aca="false">IF(OR(A47="",B47=""),"",B47/C47)</f>
        <v/>
      </c>
      <c r="E47" s="21" t="n">
        <f aca="false">IF(A47="","",A47/$B$33)</f>
        <v>1.42857142857143</v>
      </c>
      <c r="G47" s="18" t="n">
        <v>70</v>
      </c>
      <c r="H47" s="18"/>
      <c r="I47" s="19" t="n">
        <f aca="false">IF(G47="","",$N$2*$H$35/G47)</f>
        <v>543.913757142857</v>
      </c>
      <c r="J47" s="20" t="str">
        <f aca="false">IF(OR(G47="",H47=""),"",H47/I47)</f>
        <v/>
      </c>
      <c r="K47" s="21" t="n">
        <f aca="false">IF(G47="","",G47/$H$33)</f>
        <v>1.42857142857143</v>
      </c>
    </row>
    <row r="48" customFormat="false" ht="14.25" hidden="false" customHeight="false" outlineLevel="0" collapsed="false">
      <c r="A48" s="18" t="n">
        <v>80</v>
      </c>
      <c r="B48" s="18"/>
      <c r="C48" s="19" t="n">
        <f aca="false">IF(A48="","",$N$2*$B$35/A48)</f>
        <v>349.0113275</v>
      </c>
      <c r="D48" s="20" t="str">
        <f aca="false">IF(OR(A48="",B48=""),"",B48/C48)</f>
        <v/>
      </c>
      <c r="E48" s="21" t="n">
        <f aca="false">IF(A48="","",A48/$B$33)</f>
        <v>1.63265306122449</v>
      </c>
      <c r="G48" s="18" t="n">
        <v>80</v>
      </c>
      <c r="H48" s="18"/>
      <c r="I48" s="19" t="n">
        <f aca="false">IF(G48="","",$N$2*$H$35/G48)</f>
        <v>475.9245375</v>
      </c>
      <c r="J48" s="20" t="str">
        <f aca="false">IF(OR(G48="",H48=""),"",H48/I48)</f>
        <v/>
      </c>
      <c r="K48" s="21" t="n">
        <f aca="false">IF(G48="","",G48/$H$33)</f>
        <v>1.63265306122449</v>
      </c>
    </row>
    <row r="49" customFormat="false" ht="14.25" hidden="false" customHeight="false" outlineLevel="0" collapsed="false">
      <c r="A49" s="18" t="n">
        <v>90</v>
      </c>
      <c r="B49" s="18"/>
      <c r="C49" s="19" t="n">
        <f aca="false">IF(A49="","",$N$2*$B$35/A49)</f>
        <v>310.232291111111</v>
      </c>
      <c r="D49" s="20" t="str">
        <f aca="false">IF(OR(A49="",B49=""),"",B49/C49)</f>
        <v/>
      </c>
      <c r="E49" s="21" t="n">
        <f aca="false">IF(A49="","",A49/$B$33)</f>
        <v>1.83673469387755</v>
      </c>
      <c r="G49" s="18" t="n">
        <v>90</v>
      </c>
      <c r="H49" s="18"/>
      <c r="I49" s="19" t="n">
        <f aca="false">IF(G49="","",$N$2*$H$35/G49)</f>
        <v>423.044033333333</v>
      </c>
      <c r="J49" s="20" t="str">
        <f aca="false">IF(OR(G49="",H49=""),"",H49/I49)</f>
        <v/>
      </c>
      <c r="K49" s="21" t="n">
        <f aca="false">IF(G49="","",G49/$H$33)</f>
        <v>1.83673469387755</v>
      </c>
    </row>
    <row r="50" customFormat="false" ht="14.25" hidden="false" customHeight="false" outlineLevel="0" collapsed="false">
      <c r="A50" s="18" t="n">
        <v>100</v>
      </c>
      <c r="B50" s="18"/>
      <c r="C50" s="19" t="n">
        <f aca="false">IF(A50="","",$N$2*$B$35/A50)</f>
        <v>279.209062</v>
      </c>
      <c r="D50" s="20" t="str">
        <f aca="false">IF(OR(A50="",B50=""),"",B50/C50)</f>
        <v/>
      </c>
      <c r="E50" s="21" t="n">
        <f aca="false">IF(A50="","",A50/$B$33)</f>
        <v>2.04081632653061</v>
      </c>
      <c r="G50" s="18" t="n">
        <v>100</v>
      </c>
      <c r="H50" s="18"/>
      <c r="I50" s="19" t="n">
        <f aca="false">IF(G50="","",$N$2*$H$35/G50)</f>
        <v>380.73963</v>
      </c>
      <c r="J50" s="20" t="str">
        <f aca="false">IF(OR(G50="",H50=""),"",H50/I50)</f>
        <v/>
      </c>
      <c r="K50" s="21" t="n">
        <f aca="false">IF(G50="","",G50/$H$33)</f>
        <v>2.04081632653061</v>
      </c>
    </row>
    <row r="51" customFormat="false" ht="14.25" hidden="false" customHeight="false" outlineLevel="0" collapsed="false">
      <c r="A51" s="18" t="n">
        <v>110</v>
      </c>
      <c r="B51" s="18"/>
      <c r="C51" s="19" t="n">
        <f aca="false">IF(A51="","",$N$2*$B$35/A51)</f>
        <v>253.82642</v>
      </c>
      <c r="D51" s="20" t="str">
        <f aca="false">IF(OR(A51="",B51=""),"",B51/C51)</f>
        <v/>
      </c>
      <c r="E51" s="21" t="n">
        <f aca="false">IF(A51="","",A51/$B$33)</f>
        <v>2.24489795918367</v>
      </c>
      <c r="G51" s="18" t="n">
        <v>110</v>
      </c>
      <c r="H51" s="18"/>
      <c r="I51" s="19" t="n">
        <f aca="false">IF(G51="","",$N$2*$H$35/G51)</f>
        <v>346.126936363636</v>
      </c>
      <c r="J51" s="20" t="str">
        <f aca="false">IF(OR(G51="",H51=""),"",H51/I51)</f>
        <v/>
      </c>
      <c r="K51" s="21" t="n">
        <f aca="false">IF(G51="","",G51/$H$33)</f>
        <v>2.24489795918367</v>
      </c>
    </row>
    <row r="52" customFormat="false" ht="14.25" hidden="false" customHeight="false" outlineLevel="0" collapsed="false">
      <c r="A52" s="18" t="n">
        <v>120</v>
      </c>
      <c r="B52" s="18"/>
      <c r="C52" s="19" t="n">
        <f aca="false">IF(A52="","",$N$2*$B$35/A52)</f>
        <v>232.674218333333</v>
      </c>
      <c r="D52" s="20" t="str">
        <f aca="false">IF(OR(A52="",B52=""),"",B52/C52)</f>
        <v/>
      </c>
      <c r="E52" s="21" t="n">
        <f aca="false">IF(A52="","",A52/$B$33)</f>
        <v>2.44897959183673</v>
      </c>
      <c r="G52" s="18" t="n">
        <v>120</v>
      </c>
      <c r="H52" s="18"/>
      <c r="I52" s="19" t="n">
        <f aca="false">IF(G52="","",$N$2*$H$35/G52)</f>
        <v>317.283025</v>
      </c>
      <c r="J52" s="20" t="str">
        <f aca="false">IF(OR(G52="",H52=""),"",H52/I52)</f>
        <v/>
      </c>
      <c r="K52" s="21" t="n">
        <f aca="false">IF(G52="","",G52/$H$33)</f>
        <v>2.44897959183673</v>
      </c>
    </row>
    <row r="53" customFormat="false" ht="14.25" hidden="false" customHeight="false" outlineLevel="0" collapsed="false">
      <c r="A53" s="18" t="n">
        <v>130</v>
      </c>
      <c r="B53" s="18"/>
      <c r="C53" s="19" t="n">
        <f aca="false">IF(A53="","",$N$2*$B$35/A53)</f>
        <v>214.776201538462</v>
      </c>
      <c r="D53" s="20" t="str">
        <f aca="false">IF(OR(A53="",B53=""),"",B53/C53)</f>
        <v/>
      </c>
      <c r="E53" s="21" t="n">
        <f aca="false">IF(A53="","",A53/$B$33)</f>
        <v>2.6530612244898</v>
      </c>
      <c r="G53" s="18" t="n">
        <v>130</v>
      </c>
      <c r="H53" s="18"/>
      <c r="I53" s="19" t="n">
        <f aca="false">IF(G53="","",$N$2*$H$35/G53)</f>
        <v>292.876638461539</v>
      </c>
      <c r="J53" s="20" t="str">
        <f aca="false">IF(OR(G53="",H53=""),"",H53/I53)</f>
        <v/>
      </c>
      <c r="K53" s="21" t="n">
        <f aca="false">IF(G53="","",G53/$H$33)</f>
        <v>2.6530612244898</v>
      </c>
    </row>
    <row r="54" customFormat="false" ht="14.25" hidden="false" customHeight="false" outlineLevel="0" collapsed="false">
      <c r="A54" s="18" t="n">
        <v>140</v>
      </c>
      <c r="B54" s="18"/>
      <c r="C54" s="19" t="n">
        <f aca="false">IF(A54="","",$N$2*$B$35/A54)</f>
        <v>199.435044285714</v>
      </c>
      <c r="D54" s="20" t="str">
        <f aca="false">IF(OR(A54="",B54=""),"",B54/C54)</f>
        <v/>
      </c>
      <c r="E54" s="21" t="n">
        <f aca="false">IF(A54="","",A54/$B$33)</f>
        <v>2.85714285714286</v>
      </c>
      <c r="G54" s="18" t="n">
        <v>140</v>
      </c>
      <c r="H54" s="18"/>
      <c r="I54" s="19" t="n">
        <f aca="false">IF(G54="","",$N$2*$H$35/G54)</f>
        <v>271.956878571429</v>
      </c>
      <c r="J54" s="20" t="str">
        <f aca="false">IF(OR(G54="",H54=""),"",H54/I54)</f>
        <v/>
      </c>
      <c r="K54" s="21" t="n">
        <f aca="false">IF(G54="","",G54/$H$33)</f>
        <v>2.85714285714286</v>
      </c>
    </row>
    <row r="55" customFormat="false" ht="14.25" hidden="false" customHeight="false" outlineLevel="0" collapsed="false">
      <c r="A55" s="18" t="n">
        <v>150</v>
      </c>
      <c r="B55" s="18"/>
      <c r="C55" s="19" t="n">
        <f aca="false">IF(A55="","",$N$2*$B$35/A55)</f>
        <v>186.139374666667</v>
      </c>
      <c r="D55" s="20" t="str">
        <f aca="false">IF(OR(A55="",B55=""),"",B55/C55)</f>
        <v/>
      </c>
      <c r="E55" s="21" t="n">
        <f aca="false">IF(A55="","",A55/$B$33)</f>
        <v>3.06122448979592</v>
      </c>
      <c r="G55" s="18" t="n">
        <v>150</v>
      </c>
      <c r="H55" s="18"/>
      <c r="I55" s="19" t="n">
        <f aca="false">IF(G55="","",$N$2*$H$35/G55)</f>
        <v>253.82642</v>
      </c>
      <c r="J55" s="20" t="str">
        <f aca="false">IF(OR(G55="",H55=""),"",H55/I55)</f>
        <v/>
      </c>
      <c r="K55" s="21" t="n">
        <f aca="false">IF(G55="","",G55/$H$33)</f>
        <v>3.06122448979592</v>
      </c>
    </row>
    <row r="56" customFormat="false" ht="14.25" hidden="false" customHeight="false" outlineLevel="0" collapsed="false">
      <c r="A56" s="18" t="n">
        <v>160</v>
      </c>
      <c r="B56" s="18"/>
      <c r="C56" s="19" t="n">
        <f aca="false">IF(A56="","",$N$2*$B$35/A56)</f>
        <v>174.50566375</v>
      </c>
      <c r="D56" s="20" t="str">
        <f aca="false">IF(OR(A56="",B56=""),"",B56/C56)</f>
        <v/>
      </c>
      <c r="E56" s="21" t="n">
        <f aca="false">IF(A56="","",A56/$B$33)</f>
        <v>3.26530612244898</v>
      </c>
      <c r="G56" s="18" t="n">
        <v>160</v>
      </c>
      <c r="H56" s="18"/>
      <c r="I56" s="19" t="n">
        <f aca="false">IF(G56="","",$N$2*$H$35/G56)</f>
        <v>237.96226875</v>
      </c>
      <c r="J56" s="20" t="str">
        <f aca="false">IF(OR(G56="",H56=""),"",H56/I56)</f>
        <v/>
      </c>
      <c r="K56" s="21" t="n">
        <f aca="false">IF(G56="","",G56/$H$33)</f>
        <v>3.26530612244898</v>
      </c>
    </row>
    <row r="57" customFormat="false" ht="14.25" hidden="false" customHeight="false" outlineLevel="0" collapsed="false">
      <c r="A57" s="22" t="n">
        <v>175</v>
      </c>
      <c r="B57" s="22"/>
      <c r="C57" s="23" t="n">
        <f aca="false">IF(A57="","",$N$2*$B$35/A57)</f>
        <v>159.548035428571</v>
      </c>
      <c r="D57" s="24" t="str">
        <f aca="false">IF(OR(A57="",B57=""),"",B57/C57)</f>
        <v/>
      </c>
      <c r="E57" s="25" t="n">
        <f aca="false">IF(A57="","",A57/$B$33)</f>
        <v>3.57142857142857</v>
      </c>
      <c r="G57" s="22" t="n">
        <v>175</v>
      </c>
      <c r="H57" s="22"/>
      <c r="I57" s="23" t="n">
        <f aca="false">IF(G57="","",$N$2*$H$35/G57)</f>
        <v>217.565502857143</v>
      </c>
      <c r="J57" s="24" t="str">
        <f aca="false">IF(OR(G57="",H57=""),"",H57/I57)</f>
        <v/>
      </c>
      <c r="K57" s="25" t="n">
        <f aca="false">IF(G57="","",G57/$H$33)</f>
        <v>3.57142857142857</v>
      </c>
    </row>
    <row r="59" customFormat="false" ht="15" hidden="false" customHeight="true" outlineLevel="0" collapsed="false"/>
    <row r="60" customFormat="false" ht="18" hidden="false" customHeight="true" outlineLevel="0" collapsed="false">
      <c r="A60" s="1" t="s">
        <v>26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customFormat="false" ht="14.25" hidden="false" customHeight="false" outlineLevel="0" collapsed="false">
      <c r="A61" s="2" t="s">
        <v>1</v>
      </c>
      <c r="B61" s="5" t="s">
        <v>2</v>
      </c>
      <c r="E61" s="4"/>
      <c r="G61" s="2" t="s">
        <v>1</v>
      </c>
      <c r="H61" s="5" t="s">
        <v>2</v>
      </c>
      <c r="K61" s="4"/>
    </row>
    <row r="62" customFormat="false" ht="14.25" hidden="false" customHeight="false" outlineLevel="0" collapsed="false">
      <c r="A62" s="2" t="s">
        <v>5</v>
      </c>
      <c r="B62" s="0" t="n">
        <v>190.6</v>
      </c>
      <c r="C62" s="5" t="s">
        <v>6</v>
      </c>
      <c r="E62" s="4"/>
      <c r="G62" s="2" t="s">
        <v>5</v>
      </c>
      <c r="H62" s="0" t="n">
        <v>190.6</v>
      </c>
      <c r="I62" s="5" t="s">
        <v>6</v>
      </c>
      <c r="K62" s="4"/>
    </row>
    <row r="63" customFormat="false" ht="14.25" hidden="false" customHeight="false" outlineLevel="0" collapsed="false">
      <c r="A63" s="2" t="s">
        <v>7</v>
      </c>
      <c r="B63" s="0" t="n">
        <v>46.1</v>
      </c>
      <c r="C63" s="5" t="s">
        <v>8</v>
      </c>
      <c r="E63" s="4"/>
      <c r="G63" s="2" t="s">
        <v>7</v>
      </c>
      <c r="H63" s="0" t="n">
        <v>46.1</v>
      </c>
      <c r="I63" s="5" t="s">
        <v>8</v>
      </c>
      <c r="K63" s="4"/>
    </row>
    <row r="64" customFormat="false" ht="14.25" hidden="false" customHeight="false" outlineLevel="0" collapsed="false">
      <c r="A64" s="2" t="s">
        <v>10</v>
      </c>
      <c r="B64" s="0" t="n">
        <v>1.1</v>
      </c>
      <c r="E64" s="4"/>
      <c r="G64" s="2" t="s">
        <v>10</v>
      </c>
      <c r="H64" s="0" t="n">
        <v>1.5</v>
      </c>
      <c r="K64" s="4"/>
    </row>
    <row r="65" customFormat="false" ht="14.25" hidden="false" customHeight="false" outlineLevel="0" collapsed="false">
      <c r="A65" s="2" t="s">
        <v>12</v>
      </c>
      <c r="B65" s="5" t="n">
        <f aca="false">B64*B62</f>
        <v>209.66</v>
      </c>
      <c r="C65" s="5" t="s">
        <v>6</v>
      </c>
      <c r="D65" s="5" t="n">
        <f aca="false">B65-273.15</f>
        <v>-63.49</v>
      </c>
      <c r="E65" s="4" t="s">
        <v>13</v>
      </c>
      <c r="G65" s="2" t="s">
        <v>12</v>
      </c>
      <c r="H65" s="5" t="n">
        <f aca="false">H64*H62</f>
        <v>285.9</v>
      </c>
      <c r="I65" s="5" t="s">
        <v>6</v>
      </c>
      <c r="J65" s="5" t="n">
        <f aca="false">H65-273.15</f>
        <v>12.75</v>
      </c>
      <c r="K65" s="4" t="s">
        <v>13</v>
      </c>
    </row>
    <row r="66" customFormat="false" ht="15" hidden="false" customHeight="true" outlineLevel="0" collapsed="false">
      <c r="A66" s="8" t="s">
        <v>27</v>
      </c>
      <c r="B66" s="30" t="n">
        <v>30</v>
      </c>
      <c r="C66" s="9"/>
      <c r="D66" s="9"/>
      <c r="E66" s="10"/>
      <c r="G66" s="8" t="s">
        <v>27</v>
      </c>
      <c r="H66" s="30" t="n">
        <v>30</v>
      </c>
      <c r="I66" s="9"/>
      <c r="J66" s="9"/>
      <c r="K66" s="10"/>
    </row>
    <row r="67" customFormat="false" ht="16.5" hidden="false" customHeight="true" outlineLevel="0" collapsed="false">
      <c r="A67" s="31" t="s">
        <v>19</v>
      </c>
      <c r="B67" s="32" t="s">
        <v>28</v>
      </c>
      <c r="C67" s="12" t="s">
        <v>29</v>
      </c>
      <c r="D67" s="12" t="s">
        <v>22</v>
      </c>
      <c r="E67" s="13" t="s">
        <v>23</v>
      </c>
      <c r="G67" s="11" t="s">
        <v>19</v>
      </c>
      <c r="H67" s="32" t="s">
        <v>28</v>
      </c>
      <c r="I67" s="12" t="s">
        <v>29</v>
      </c>
      <c r="J67" s="12" t="s">
        <v>22</v>
      </c>
      <c r="K67" s="13" t="s">
        <v>23</v>
      </c>
    </row>
    <row r="68" customFormat="false" ht="14.25" hidden="false" customHeight="false" outlineLevel="0" collapsed="false">
      <c r="A68" s="33" t="n">
        <v>175</v>
      </c>
      <c r="B68" s="14"/>
      <c r="C68" s="34" t="n">
        <f aca="false">$B$66</f>
        <v>30</v>
      </c>
      <c r="D68" s="16" t="str">
        <f aca="false">IF(OR(A68="",B68=""),"",A68*C68/((B68/1000)*$N$2*$B$65))</f>
        <v/>
      </c>
      <c r="E68" s="17" t="n">
        <f aca="false">IF(A68="","",A68/$B$63)</f>
        <v>3.79609544468547</v>
      </c>
      <c r="F68" s="35"/>
      <c r="G68" s="14" t="n">
        <v>175</v>
      </c>
      <c r="H68" s="14"/>
      <c r="I68" s="34" t="n">
        <f aca="false">$H$66</f>
        <v>30</v>
      </c>
      <c r="J68" s="16" t="str">
        <f aca="false">IF(OR(G68="",H68=""),"",G68*I68/((H68/1000)*$N$2*$H$65))</f>
        <v/>
      </c>
      <c r="K68" s="17" t="n">
        <f aca="false">IF(G68="","",G68/$H$63)</f>
        <v>3.79609544468547</v>
      </c>
    </row>
    <row r="69" customFormat="false" ht="14.25" hidden="false" customHeight="false" outlineLevel="0" collapsed="false">
      <c r="A69" s="14" t="n">
        <v>200</v>
      </c>
      <c r="B69" s="14"/>
      <c r="C69" s="34" t="n">
        <f aca="false">$B$66</f>
        <v>30</v>
      </c>
      <c r="D69" s="16" t="str">
        <f aca="false">IF(OR(A69="",B69=""),"",A69*C69/((B69/1000)*$N$2*$B$65))</f>
        <v/>
      </c>
      <c r="E69" s="17" t="n">
        <f aca="false">IF(A69="","",A69/$B$63)</f>
        <v>4.33839479392625</v>
      </c>
      <c r="F69" s="36"/>
      <c r="G69" s="14" t="n">
        <v>200</v>
      </c>
      <c r="H69" s="14"/>
      <c r="I69" s="34" t="n">
        <f aca="false">$H$66</f>
        <v>30</v>
      </c>
      <c r="J69" s="16" t="str">
        <f aca="false">IF(OR(G69="",H69=""),"",G69*I69/((H69/1000)*$N$2*$H$65))</f>
        <v/>
      </c>
      <c r="K69" s="17" t="n">
        <f aca="false">IF(G69="","",G69/$H$63)</f>
        <v>4.33839479392625</v>
      </c>
    </row>
    <row r="70" customFormat="false" ht="14.25" hidden="false" customHeight="false" outlineLevel="0" collapsed="false">
      <c r="A70" s="14" t="n">
        <v>250</v>
      </c>
      <c r="B70" s="14"/>
      <c r="C70" s="34" t="n">
        <f aca="false">$B$66</f>
        <v>30</v>
      </c>
      <c r="D70" s="16" t="str">
        <f aca="false">IF(OR(A70="",B70=""),"",A70*C70/((B70/1000)*$N$2*$B$65))</f>
        <v/>
      </c>
      <c r="E70" s="17" t="n">
        <f aca="false">IF(A70="","",A70/$B$63)</f>
        <v>5.42299349240781</v>
      </c>
      <c r="F70" s="35"/>
      <c r="G70" s="14" t="n">
        <v>250</v>
      </c>
      <c r="H70" s="14"/>
      <c r="I70" s="34" t="n">
        <f aca="false">$H$66</f>
        <v>30</v>
      </c>
      <c r="J70" s="16" t="str">
        <f aca="false">IF(OR(G70="",H70=""),"",G70*I70/((H70/1000)*$N$2*$H$65))</f>
        <v/>
      </c>
      <c r="K70" s="17" t="n">
        <f aca="false">IF(G70="","",G70/$H$63)</f>
        <v>5.42299349240781</v>
      </c>
    </row>
    <row r="71" customFormat="false" ht="14.25" hidden="false" customHeight="false" outlineLevel="0" collapsed="false">
      <c r="A71" s="14" t="n">
        <v>300</v>
      </c>
      <c r="B71" s="14"/>
      <c r="C71" s="34" t="n">
        <f aca="false">$B$66</f>
        <v>30</v>
      </c>
      <c r="D71" s="16" t="str">
        <f aca="false">IF(OR(A71="",B71=""),"",A71*C71/((B71/1000)*$N$2*$B$65))</f>
        <v/>
      </c>
      <c r="E71" s="17" t="n">
        <f aca="false">IF(A71="","",A71/$B$63)</f>
        <v>6.50759219088937</v>
      </c>
      <c r="F71" s="35"/>
      <c r="G71" s="14" t="n">
        <v>300</v>
      </c>
      <c r="H71" s="14"/>
      <c r="I71" s="34" t="n">
        <f aca="false">$H$66</f>
        <v>30</v>
      </c>
      <c r="J71" s="16" t="str">
        <f aca="false">IF(OR(G71="",H71=""),"",G71*I71/((H71/1000)*$N$2*$H$65))</f>
        <v/>
      </c>
      <c r="K71" s="17" t="n">
        <f aca="false">IF(G71="","",G71/$H$63)</f>
        <v>6.50759219088937</v>
      </c>
    </row>
    <row r="72" customFormat="false" ht="14.25" hidden="false" customHeight="false" outlineLevel="0" collapsed="false">
      <c r="A72" s="14" t="n">
        <v>350</v>
      </c>
      <c r="B72" s="14"/>
      <c r="C72" s="34" t="n">
        <f aca="false">$B$66</f>
        <v>30</v>
      </c>
      <c r="D72" s="16" t="str">
        <f aca="false">IF(OR(A72="",B72=""),"",A72*C72/((B72/1000)*$N$2*$B$65))</f>
        <v/>
      </c>
      <c r="E72" s="17" t="n">
        <f aca="false">IF(A72="","",A72/$B$63)</f>
        <v>7.59219088937093</v>
      </c>
      <c r="F72" s="35"/>
      <c r="G72" s="14" t="n">
        <v>350</v>
      </c>
      <c r="H72" s="14"/>
      <c r="I72" s="34" t="n">
        <f aca="false">$H$66</f>
        <v>30</v>
      </c>
      <c r="J72" s="16" t="str">
        <f aca="false">IF(OR(G72="",H72=""),"",G72*I72/((H72/1000)*$N$2*$H$65))</f>
        <v/>
      </c>
      <c r="K72" s="17" t="n">
        <f aca="false">IF(G72="","",G72/$H$63)</f>
        <v>7.59219088937093</v>
      </c>
    </row>
    <row r="73" customFormat="false" ht="14.25" hidden="false" customHeight="false" outlineLevel="0" collapsed="false">
      <c r="A73" s="14" t="n">
        <v>400</v>
      </c>
      <c r="B73" s="14"/>
      <c r="C73" s="34" t="n">
        <f aca="false">$B$66</f>
        <v>30</v>
      </c>
      <c r="D73" s="16" t="str">
        <f aca="false">IF(OR(A73="",B73=""),"",A73*C73/((B73/1000)*$N$2*$B$65))</f>
        <v/>
      </c>
      <c r="E73" s="17" t="n">
        <f aca="false">IF(A73="","",A73/$B$63)</f>
        <v>8.6767895878525</v>
      </c>
      <c r="F73" s="35"/>
      <c r="G73" s="14" t="n">
        <v>400</v>
      </c>
      <c r="H73" s="14"/>
      <c r="I73" s="34" t="n">
        <f aca="false">$H$66</f>
        <v>30</v>
      </c>
      <c r="J73" s="16" t="str">
        <f aca="false">IF(OR(G73="",H73=""),"",G73*I73/((H73/1000)*$N$2*$H$65))</f>
        <v/>
      </c>
      <c r="K73" s="17" t="n">
        <f aca="false">IF(G73="","",G73/$H$63)</f>
        <v>8.6767895878525</v>
      </c>
    </row>
    <row r="74" customFormat="false" ht="14.25" hidden="false" customHeight="false" outlineLevel="0" collapsed="false">
      <c r="A74" s="18" t="n">
        <v>450</v>
      </c>
      <c r="B74" s="18"/>
      <c r="C74" s="37" t="n">
        <f aca="false">$B$66</f>
        <v>30</v>
      </c>
      <c r="D74" s="20" t="str">
        <f aca="false">IF(OR(A74="",B74=""),"",A74*C74/((B74/1000)*$N$2*$B$65))</f>
        <v/>
      </c>
      <c r="E74" s="21" t="n">
        <f aca="false">IF(A74="","",A74/$B$63)</f>
        <v>9.76138828633406</v>
      </c>
      <c r="F74" s="35"/>
      <c r="G74" s="18" t="n">
        <v>450</v>
      </c>
      <c r="H74" s="18"/>
      <c r="I74" s="37" t="n">
        <f aca="false">$H$66</f>
        <v>30</v>
      </c>
      <c r="J74" s="20" t="str">
        <f aca="false">IF(OR(G74="",H74=""),"",G74*I74/((H74/1000)*$N$2*$H$65))</f>
        <v/>
      </c>
      <c r="K74" s="21" t="n">
        <f aca="false">IF(G74="","",G74/$H$63)</f>
        <v>9.76138828633406</v>
      </c>
    </row>
    <row r="75" customFormat="false" ht="14.25" hidden="false" customHeight="false" outlineLevel="0" collapsed="false">
      <c r="A75" s="18" t="n">
        <v>500</v>
      </c>
      <c r="B75" s="18"/>
      <c r="C75" s="37" t="n">
        <f aca="false">$B$66</f>
        <v>30</v>
      </c>
      <c r="D75" s="20" t="str">
        <f aca="false">IF(OR(A75="",B75=""),"",A75*C75/((B75/1000)*$N$2*$B$65))</f>
        <v/>
      </c>
      <c r="E75" s="21" t="n">
        <f aca="false">IF(A75="","",A75/$B$63)</f>
        <v>10.8459869848156</v>
      </c>
      <c r="F75" s="35"/>
      <c r="G75" s="18" t="n">
        <v>500</v>
      </c>
      <c r="H75" s="18"/>
      <c r="I75" s="37" t="n">
        <f aca="false">$H$66</f>
        <v>30</v>
      </c>
      <c r="J75" s="20" t="str">
        <f aca="false">IF(OR(G75="",H75=""),"",G75*I75/((H75/1000)*$N$2*$H$65))</f>
        <v/>
      </c>
      <c r="K75" s="21" t="n">
        <f aca="false">IF(G75="","",G75/$H$63)</f>
        <v>10.8459869848156</v>
      </c>
    </row>
    <row r="76" customFormat="false" ht="14.25" hidden="false" customHeight="false" outlineLevel="0" collapsed="false">
      <c r="A76" s="18" t="n">
        <v>550</v>
      </c>
      <c r="B76" s="18"/>
      <c r="C76" s="37" t="n">
        <f aca="false">$B$66</f>
        <v>30</v>
      </c>
      <c r="D76" s="20" t="str">
        <f aca="false">IF(OR(A76="",B76=""),"",A76*C76/((B76/1000)*$N$2*$B$65))</f>
        <v/>
      </c>
      <c r="E76" s="21" t="n">
        <f aca="false">IF(A76="","",A76/$B$63)</f>
        <v>11.9305856832972</v>
      </c>
      <c r="F76" s="35"/>
      <c r="G76" s="18" t="n">
        <v>550</v>
      </c>
      <c r="H76" s="18"/>
      <c r="I76" s="37" t="n">
        <f aca="false">$H$66</f>
        <v>30</v>
      </c>
      <c r="J76" s="20" t="str">
        <f aca="false">IF(OR(G76="",H76=""),"",G76*I76/((H76/1000)*$N$2*$H$65))</f>
        <v/>
      </c>
      <c r="K76" s="21" t="n">
        <f aca="false">IF(G76="","",G76/$H$63)</f>
        <v>11.9305856832972</v>
      </c>
    </row>
    <row r="77" customFormat="false" ht="14.25" hidden="false" customHeight="false" outlineLevel="0" collapsed="false">
      <c r="A77" s="18" t="n">
        <v>600</v>
      </c>
      <c r="B77" s="18"/>
      <c r="C77" s="37" t="n">
        <f aca="false">$B$66</f>
        <v>30</v>
      </c>
      <c r="D77" s="20" t="str">
        <f aca="false">IF(OR(A77="",B77=""),"",A77*C77/((B77/1000)*$N$2*$B$65))</f>
        <v/>
      </c>
      <c r="E77" s="21" t="n">
        <f aca="false">IF(A77="","",A77/$B$63)</f>
        <v>13.0151843817787</v>
      </c>
      <c r="F77" s="35"/>
      <c r="G77" s="18" t="n">
        <v>600</v>
      </c>
      <c r="H77" s="18"/>
      <c r="I77" s="37" t="n">
        <f aca="false">$H$66</f>
        <v>30</v>
      </c>
      <c r="J77" s="20" t="str">
        <f aca="false">IF(OR(G77="",H77=""),"",G77*I77/((H77/1000)*$N$2*$H$65))</f>
        <v/>
      </c>
      <c r="K77" s="21" t="n">
        <f aca="false">IF(G77="","",G77/$H$63)</f>
        <v>13.0151843817787</v>
      </c>
    </row>
    <row r="78" customFormat="false" ht="14.25" hidden="false" customHeight="false" outlineLevel="0" collapsed="false">
      <c r="A78" s="18" t="n">
        <v>650</v>
      </c>
      <c r="B78" s="18"/>
      <c r="C78" s="37" t="n">
        <f aca="false">$B$66</f>
        <v>30</v>
      </c>
      <c r="D78" s="20" t="str">
        <f aca="false">IF(OR(A78="",B78=""),"",A78*C78/((B78/1000)*$N$2*$B$65))</f>
        <v/>
      </c>
      <c r="E78" s="21" t="n">
        <f aca="false">IF(A78="","",A78/$B$63)</f>
        <v>14.0997830802603</v>
      </c>
      <c r="F78" s="35"/>
      <c r="G78" s="18" t="n">
        <v>650</v>
      </c>
      <c r="H78" s="18"/>
      <c r="I78" s="37" t="n">
        <f aca="false">$H$66</f>
        <v>30</v>
      </c>
      <c r="J78" s="20" t="str">
        <f aca="false">IF(OR(G78="",H78=""),"",G78*I78/((H78/1000)*$N$2*$H$65))</f>
        <v/>
      </c>
      <c r="K78" s="21" t="n">
        <f aca="false">IF(G78="","",G78/$H$63)</f>
        <v>14.0997830802603</v>
      </c>
    </row>
    <row r="79" customFormat="false" ht="14.25" hidden="false" customHeight="false" outlineLevel="0" collapsed="false">
      <c r="A79" s="18" t="n">
        <v>700</v>
      </c>
      <c r="B79" s="18"/>
      <c r="C79" s="37" t="n">
        <f aca="false">$B$66</f>
        <v>30</v>
      </c>
      <c r="D79" s="20" t="str">
        <f aca="false">IF(OR(A79="",B79=""),"",A79*C79/((B79/1000)*$N$2*$B$65))</f>
        <v/>
      </c>
      <c r="E79" s="21" t="n">
        <f aca="false">IF(A79="","",A79/$B$63)</f>
        <v>15.1843817787419</v>
      </c>
      <c r="F79" s="35"/>
      <c r="G79" s="18" t="n">
        <v>700</v>
      </c>
      <c r="H79" s="18"/>
      <c r="I79" s="37" t="n">
        <f aca="false">$H$66</f>
        <v>30</v>
      </c>
      <c r="J79" s="20" t="str">
        <f aca="false">IF(OR(G79="",H79=""),"",G79*I79/((H79/1000)*$N$2*$H$65))</f>
        <v/>
      </c>
      <c r="K79" s="21" t="n">
        <f aca="false">IF(G79="","",G79/$H$63)</f>
        <v>15.1843817787419</v>
      </c>
    </row>
    <row r="80" customFormat="false" ht="14.25" hidden="false" customHeight="false" outlineLevel="0" collapsed="false">
      <c r="A80" s="18" t="n">
        <v>750</v>
      </c>
      <c r="B80" s="18"/>
      <c r="C80" s="37" t="n">
        <f aca="false">$B$66</f>
        <v>30</v>
      </c>
      <c r="D80" s="20" t="str">
        <f aca="false">IF(OR(A80="",B80=""),"",A80*C80/((B80/1000)*$N$2*$B$65))</f>
        <v/>
      </c>
      <c r="E80" s="21" t="n">
        <f aca="false">IF(A80="","",A80/$B$63)</f>
        <v>16.2689804772234</v>
      </c>
      <c r="F80" s="35"/>
      <c r="G80" s="18" t="n">
        <v>750</v>
      </c>
      <c r="H80" s="18"/>
      <c r="I80" s="37" t="n">
        <f aca="false">$H$66</f>
        <v>30</v>
      </c>
      <c r="J80" s="20" t="str">
        <f aca="false">IF(OR(G80="",H80=""),"",G80*I80/((H80/1000)*$N$2*$H$65))</f>
        <v/>
      </c>
      <c r="K80" s="21" t="n">
        <f aca="false">IF(G80="","",G80/$H$63)</f>
        <v>16.2689804772234</v>
      </c>
    </row>
    <row r="81" customFormat="false" ht="14.25" hidden="false" customHeight="false" outlineLevel="0" collapsed="false">
      <c r="A81" s="18" t="n">
        <v>800</v>
      </c>
      <c r="B81" s="18"/>
      <c r="C81" s="37" t="n">
        <f aca="false">$B$66</f>
        <v>30</v>
      </c>
      <c r="D81" s="20" t="str">
        <f aca="false">IF(OR(A81="",B81=""),"",A81*C81/((B81/1000)*$N$2*$B$65))</f>
        <v/>
      </c>
      <c r="E81" s="21" t="n">
        <f aca="false">IF(A81="","",A81/$B$63)</f>
        <v>17.353579175705</v>
      </c>
      <c r="F81" s="35"/>
      <c r="G81" s="18" t="n">
        <v>800</v>
      </c>
      <c r="H81" s="18"/>
      <c r="I81" s="37" t="n">
        <f aca="false">$H$66</f>
        <v>30</v>
      </c>
      <c r="J81" s="20" t="str">
        <f aca="false">IF(OR(G81="",H81=""),"",G81*I81/((H81/1000)*$N$2*$H$65))</f>
        <v/>
      </c>
      <c r="K81" s="21" t="n">
        <f aca="false">IF(G81="","",G81/$H$63)</f>
        <v>17.353579175705</v>
      </c>
    </row>
    <row r="82" customFormat="false" ht="14.25" hidden="false" customHeight="false" outlineLevel="0" collapsed="false">
      <c r="A82" s="18" t="n">
        <v>850</v>
      </c>
      <c r="B82" s="18"/>
      <c r="C82" s="37" t="n">
        <f aca="false">$B$66</f>
        <v>30</v>
      </c>
      <c r="D82" s="20" t="str">
        <f aca="false">IF(OR(A82="",B82=""),"",A82*C82/((B82/1000)*$N$2*$B$65))</f>
        <v/>
      </c>
      <c r="E82" s="21" t="n">
        <f aca="false">IF(A82="","",A82/$B$63)</f>
        <v>18.4381778741866</v>
      </c>
      <c r="F82" s="35"/>
      <c r="G82" s="18" t="n">
        <v>850</v>
      </c>
      <c r="H82" s="18"/>
      <c r="I82" s="37" t="n">
        <f aca="false">$H$66</f>
        <v>30</v>
      </c>
      <c r="J82" s="20" t="str">
        <f aca="false">IF(OR(G82="",H82=""),"",G82*I82/((H82/1000)*$N$2*$H$65))</f>
        <v/>
      </c>
      <c r="K82" s="21" t="n">
        <f aca="false">IF(G82="","",G82/$H$63)</f>
        <v>18.4381778741866</v>
      </c>
    </row>
    <row r="83" customFormat="false" ht="14.25" hidden="false" customHeight="false" outlineLevel="0" collapsed="false">
      <c r="A83" s="18" t="n">
        <v>900</v>
      </c>
      <c r="B83" s="18"/>
      <c r="C83" s="37" t="n">
        <f aca="false">$B$66</f>
        <v>30</v>
      </c>
      <c r="D83" s="20" t="str">
        <f aca="false">IF(OR(A83="",B83=""),"",A83*C83/((B83/1000)*$N$2*$B$65))</f>
        <v/>
      </c>
      <c r="E83" s="21" t="n">
        <f aca="false">IF(A83="","",A83/$B$63)</f>
        <v>19.5227765726681</v>
      </c>
      <c r="F83" s="35"/>
      <c r="G83" s="18" t="n">
        <v>900</v>
      </c>
      <c r="H83" s="18"/>
      <c r="I83" s="37" t="n">
        <f aca="false">$H$66</f>
        <v>30</v>
      </c>
      <c r="J83" s="20" t="str">
        <f aca="false">IF(OR(G83="",H83=""),"",G83*I83/((H83/1000)*$N$2*$H$65))</f>
        <v/>
      </c>
      <c r="K83" s="21" t="n">
        <f aca="false">IF(G83="","",G83/$H$63)</f>
        <v>19.5227765726681</v>
      </c>
    </row>
    <row r="84" customFormat="false" ht="14.25" hidden="false" customHeight="false" outlineLevel="0" collapsed="false">
      <c r="A84" s="37"/>
      <c r="B84" s="37"/>
      <c r="C84" s="37"/>
      <c r="D84" s="37"/>
      <c r="E84" s="37"/>
      <c r="F84" s="35"/>
      <c r="G84" s="37"/>
      <c r="H84" s="37"/>
      <c r="I84" s="37"/>
      <c r="J84" s="37"/>
      <c r="K84" s="37"/>
    </row>
    <row r="85" customFormat="false" ht="14.25" hidden="false" customHeight="false" outlineLevel="0" collapsed="false">
      <c r="A85" s="37"/>
      <c r="B85" s="37"/>
      <c r="C85" s="37"/>
      <c r="D85" s="37"/>
      <c r="E85" s="37"/>
      <c r="F85" s="35"/>
      <c r="G85" s="37"/>
      <c r="H85" s="37"/>
      <c r="I85" s="37"/>
      <c r="J85" s="37"/>
      <c r="K85" s="37"/>
    </row>
    <row r="86" customFormat="false" ht="14.25" hidden="false" customHeight="false" outlineLevel="0" collapsed="false">
      <c r="A86" s="38"/>
      <c r="B86" s="38"/>
      <c r="C86" s="38"/>
      <c r="D86" s="38"/>
      <c r="E86" s="38"/>
      <c r="F86" s="35"/>
      <c r="G86" s="38"/>
      <c r="H86" s="38"/>
      <c r="I86" s="38"/>
      <c r="J86" s="38"/>
      <c r="K86" s="38"/>
    </row>
    <row r="88" customFormat="false" ht="15" hidden="false" customHeight="true" outlineLevel="0" collapsed="false"/>
    <row r="89" customFormat="false" ht="14.25" hidden="false" customHeight="false" outlineLevel="0" collapsed="false">
      <c r="A89" s="26" t="s">
        <v>1</v>
      </c>
      <c r="B89" s="28" t="s">
        <v>25</v>
      </c>
      <c r="C89" s="28"/>
      <c r="D89" s="28"/>
      <c r="E89" s="29"/>
      <c r="G89" s="26" t="s">
        <v>1</v>
      </c>
      <c r="H89" s="28" t="s">
        <v>25</v>
      </c>
      <c r="I89" s="28"/>
      <c r="J89" s="28"/>
      <c r="K89" s="29"/>
    </row>
    <row r="90" customFormat="false" ht="14.25" hidden="false" customHeight="false" outlineLevel="0" collapsed="false">
      <c r="A90" s="2" t="s">
        <v>5</v>
      </c>
      <c r="B90" s="0" t="n">
        <v>305.3</v>
      </c>
      <c r="C90" s="5" t="s">
        <v>6</v>
      </c>
      <c r="E90" s="4"/>
      <c r="G90" s="2" t="s">
        <v>5</v>
      </c>
      <c r="H90" s="0" t="n">
        <v>305.3</v>
      </c>
      <c r="I90" s="5" t="s">
        <v>6</v>
      </c>
      <c r="K90" s="4"/>
    </row>
    <row r="91" customFormat="false" ht="14.25" hidden="false" customHeight="false" outlineLevel="0" collapsed="false">
      <c r="A91" s="2" t="s">
        <v>7</v>
      </c>
      <c r="B91" s="0" t="n">
        <v>49</v>
      </c>
      <c r="C91" s="5" t="s">
        <v>8</v>
      </c>
      <c r="E91" s="4"/>
      <c r="G91" s="2" t="s">
        <v>7</v>
      </c>
      <c r="H91" s="0" t="n">
        <v>49</v>
      </c>
      <c r="I91" s="5" t="s">
        <v>8</v>
      </c>
      <c r="K91" s="4"/>
    </row>
    <row r="92" customFormat="false" ht="14.25" hidden="false" customHeight="false" outlineLevel="0" collapsed="false">
      <c r="A92" s="2" t="s">
        <v>10</v>
      </c>
      <c r="B92" s="0" t="n">
        <v>1.1</v>
      </c>
      <c r="E92" s="4"/>
      <c r="G92" s="2" t="s">
        <v>10</v>
      </c>
      <c r="H92" s="0" t="n">
        <v>1.5</v>
      </c>
      <c r="K92" s="4"/>
    </row>
    <row r="93" customFormat="false" ht="14.25" hidden="false" customHeight="false" outlineLevel="0" collapsed="false">
      <c r="A93" s="2" t="s">
        <v>12</v>
      </c>
      <c r="B93" s="5" t="n">
        <f aca="false">B92*B90</f>
        <v>335.83</v>
      </c>
      <c r="C93" s="5" t="s">
        <v>6</v>
      </c>
      <c r="D93" s="5" t="n">
        <f aca="false">B93-273.15</f>
        <v>62.6800000000001</v>
      </c>
      <c r="E93" s="4" t="s">
        <v>13</v>
      </c>
      <c r="G93" s="2" t="s">
        <v>12</v>
      </c>
      <c r="H93" s="5" t="n">
        <f aca="false">H92*H90</f>
        <v>457.95</v>
      </c>
      <c r="I93" s="5" t="s">
        <v>6</v>
      </c>
      <c r="J93" s="5" t="n">
        <f aca="false">H93-273.15</f>
        <v>184.8</v>
      </c>
      <c r="K93" s="4" t="s">
        <v>13</v>
      </c>
    </row>
    <row r="94" customFormat="false" ht="15" hidden="false" customHeight="true" outlineLevel="0" collapsed="false">
      <c r="A94" s="8" t="s">
        <v>27</v>
      </c>
      <c r="B94" s="30" t="n">
        <v>30</v>
      </c>
      <c r="C94" s="9"/>
      <c r="D94" s="9"/>
      <c r="E94" s="10"/>
      <c r="G94" s="8" t="s">
        <v>27</v>
      </c>
      <c r="H94" s="30" t="n">
        <v>30</v>
      </c>
      <c r="I94" s="9"/>
      <c r="J94" s="9"/>
      <c r="K94" s="10"/>
    </row>
    <row r="95" customFormat="false" ht="16.5" hidden="false" customHeight="true" outlineLevel="0" collapsed="false">
      <c r="A95" s="11" t="s">
        <v>19</v>
      </c>
      <c r="B95" s="32" t="s">
        <v>28</v>
      </c>
      <c r="C95" s="12" t="s">
        <v>29</v>
      </c>
      <c r="D95" s="12" t="s">
        <v>22</v>
      </c>
      <c r="E95" s="13" t="s">
        <v>23</v>
      </c>
      <c r="G95" s="11" t="s">
        <v>19</v>
      </c>
      <c r="H95" s="32" t="s">
        <v>28</v>
      </c>
      <c r="I95" s="12" t="s">
        <v>29</v>
      </c>
      <c r="J95" s="12" t="s">
        <v>22</v>
      </c>
      <c r="K95" s="13" t="s">
        <v>23</v>
      </c>
    </row>
    <row r="96" customFormat="false" ht="14.25" hidden="false" customHeight="false" outlineLevel="0" collapsed="false">
      <c r="A96" s="14" t="n">
        <v>175</v>
      </c>
      <c r="B96" s="14"/>
      <c r="C96" s="34" t="n">
        <f aca="false">$B$94</f>
        <v>30</v>
      </c>
      <c r="D96" s="16" t="str">
        <f aca="false">IF(OR(A96="",B96=""),"",A96*C96/((B96/1000)*$N$2*$B$93))</f>
        <v/>
      </c>
      <c r="E96" s="17" t="n">
        <f aca="false">IF(A96="","",A96/$B$91)</f>
        <v>3.57142857142857</v>
      </c>
      <c r="G96" s="14" t="n">
        <v>175</v>
      </c>
      <c r="H96" s="14"/>
      <c r="I96" s="34" t="n">
        <f aca="false">$H$94</f>
        <v>30</v>
      </c>
      <c r="J96" s="16" t="str">
        <f aca="false">IF(OR(G96="",H96=""),"",G96*I96/((H96/1000)*$N$2*$H$93))</f>
        <v/>
      </c>
      <c r="K96" s="17" t="n">
        <f aca="false">IF(G96="","",G96/$H$91)</f>
        <v>3.57142857142857</v>
      </c>
    </row>
    <row r="97" customFormat="false" ht="14.25" hidden="false" customHeight="false" outlineLevel="0" collapsed="false">
      <c r="A97" s="14" t="n">
        <v>200</v>
      </c>
      <c r="B97" s="14"/>
      <c r="C97" s="34" t="n">
        <f aca="false">$B$94</f>
        <v>30</v>
      </c>
      <c r="D97" s="16" t="str">
        <f aca="false">IF(OR(A97="",B97=""),"",A97*C97/((B97/1000)*$N$2*$B$93))</f>
        <v/>
      </c>
      <c r="E97" s="17" t="n">
        <f aca="false">IF(A97="","",A97/$B$91)</f>
        <v>4.08163265306123</v>
      </c>
      <c r="G97" s="14" t="n">
        <v>200</v>
      </c>
      <c r="H97" s="14"/>
      <c r="I97" s="34" t="n">
        <f aca="false">$H$94</f>
        <v>30</v>
      </c>
      <c r="J97" s="16" t="str">
        <f aca="false">IF(OR(G97="",H97=""),"",G97*I97/((H97/1000)*$N$2*$H$93))</f>
        <v/>
      </c>
      <c r="K97" s="17" t="n">
        <f aca="false">IF(G97="","",G97/$H$91)</f>
        <v>4.08163265306123</v>
      </c>
    </row>
    <row r="98" customFormat="false" ht="14.25" hidden="false" customHeight="false" outlineLevel="0" collapsed="false">
      <c r="A98" s="14" t="n">
        <v>250</v>
      </c>
      <c r="B98" s="14"/>
      <c r="C98" s="34" t="n">
        <f aca="false">$B$94</f>
        <v>30</v>
      </c>
      <c r="D98" s="16" t="str">
        <f aca="false">IF(OR(A98="",B98=""),"",A98*C98/((B98/1000)*$N$2*$B$93))</f>
        <v/>
      </c>
      <c r="E98" s="17" t="n">
        <f aca="false">IF(A98="","",A98/$B$91)</f>
        <v>5.10204081632653</v>
      </c>
      <c r="G98" s="14" t="n">
        <v>250</v>
      </c>
      <c r="H98" s="14"/>
      <c r="I98" s="34" t="n">
        <f aca="false">$H$94</f>
        <v>30</v>
      </c>
      <c r="J98" s="16" t="str">
        <f aca="false">IF(OR(G98="",H98=""),"",G98*I98/((H98/1000)*$N$2*$H$93))</f>
        <v/>
      </c>
      <c r="K98" s="17" t="n">
        <f aca="false">IF(G98="","",G98/$H$91)</f>
        <v>5.10204081632653</v>
      </c>
    </row>
    <row r="99" customFormat="false" ht="14.25" hidden="false" customHeight="false" outlineLevel="0" collapsed="false">
      <c r="A99" s="14" t="n">
        <v>300</v>
      </c>
      <c r="B99" s="14"/>
      <c r="C99" s="34" t="n">
        <f aca="false">$B$94</f>
        <v>30</v>
      </c>
      <c r="D99" s="16" t="str">
        <f aca="false">IF(OR(A99="",B99=""),"",A99*C99/((B99/1000)*$N$2*$B$93))</f>
        <v/>
      </c>
      <c r="E99" s="17" t="n">
        <f aca="false">IF(A99="","",A99/$B$91)</f>
        <v>6.12244897959184</v>
      </c>
      <c r="G99" s="14" t="n">
        <v>300</v>
      </c>
      <c r="H99" s="14"/>
      <c r="I99" s="34" t="n">
        <f aca="false">$H$94</f>
        <v>30</v>
      </c>
      <c r="J99" s="16" t="str">
        <f aca="false">IF(OR(G99="",H99=""),"",G99*I99/((H99/1000)*$N$2*$H$93))</f>
        <v/>
      </c>
      <c r="K99" s="17" t="n">
        <f aca="false">IF(G99="","",G99/$H$91)</f>
        <v>6.12244897959184</v>
      </c>
    </row>
    <row r="100" customFormat="false" ht="14.25" hidden="false" customHeight="false" outlineLevel="0" collapsed="false">
      <c r="A100" s="14" t="n">
        <v>350</v>
      </c>
      <c r="B100" s="14"/>
      <c r="C100" s="34" t="n">
        <f aca="false">$B$94</f>
        <v>30</v>
      </c>
      <c r="D100" s="16" t="str">
        <f aca="false">IF(OR(A100="",B100=""),"",A100*C100/((B100/1000)*$N$2*$B$93))</f>
        <v/>
      </c>
      <c r="E100" s="17" t="n">
        <f aca="false">IF(A100="","",A100/$B$91)</f>
        <v>7.14285714285714</v>
      </c>
      <c r="G100" s="14" t="n">
        <v>350</v>
      </c>
      <c r="H100" s="14"/>
      <c r="I100" s="34" t="n">
        <f aca="false">$H$94</f>
        <v>30</v>
      </c>
      <c r="J100" s="16" t="str">
        <f aca="false">IF(OR(G100="",H100=""),"",G100*I100/((H100/1000)*$N$2*$H$93))</f>
        <v/>
      </c>
      <c r="K100" s="17" t="n">
        <f aca="false">IF(G100="","",G100/$H$91)</f>
        <v>7.14285714285714</v>
      </c>
    </row>
    <row r="101" customFormat="false" ht="14.25" hidden="false" customHeight="false" outlineLevel="0" collapsed="false">
      <c r="A101" s="14" t="n">
        <v>400</v>
      </c>
      <c r="B101" s="14"/>
      <c r="C101" s="34" t="n">
        <f aca="false">$B$94</f>
        <v>30</v>
      </c>
      <c r="D101" s="16" t="str">
        <f aca="false">IF(OR(A101="",B101=""),"",A101*C101/((B101/1000)*$N$2*$B$93))</f>
        <v/>
      </c>
      <c r="E101" s="17" t="n">
        <f aca="false">IF(A101="","",A101/$B$91)</f>
        <v>8.16326530612245</v>
      </c>
      <c r="G101" s="14" t="n">
        <v>400</v>
      </c>
      <c r="H101" s="14"/>
      <c r="I101" s="34" t="n">
        <f aca="false">$H$94</f>
        <v>30</v>
      </c>
      <c r="J101" s="16" t="str">
        <f aca="false">IF(OR(G101="",H101=""),"",G101*I101/((H101/1000)*$N$2*$H$93))</f>
        <v/>
      </c>
      <c r="K101" s="17" t="n">
        <f aca="false">IF(G101="","",G101/$H$91)</f>
        <v>8.16326530612245</v>
      </c>
    </row>
    <row r="102" customFormat="false" ht="14.25" hidden="false" customHeight="false" outlineLevel="0" collapsed="false">
      <c r="A102" s="18" t="n">
        <v>450</v>
      </c>
      <c r="B102" s="18"/>
      <c r="C102" s="37" t="n">
        <f aca="false">$B$94</f>
        <v>30</v>
      </c>
      <c r="D102" s="20" t="str">
        <f aca="false">IF(OR(A102="",B102=""),"",A102*C102/((B102/1000)*$N$2*$B$93))</f>
        <v/>
      </c>
      <c r="E102" s="21" t="n">
        <f aca="false">IF(A102="","",A102/$B$91)</f>
        <v>9.18367346938776</v>
      </c>
      <c r="G102" s="18" t="n">
        <v>450</v>
      </c>
      <c r="H102" s="18"/>
      <c r="I102" s="37" t="n">
        <f aca="false">$H$94</f>
        <v>30</v>
      </c>
      <c r="J102" s="20" t="str">
        <f aca="false">IF(OR(G102="",H102=""),"",G102*I102/((H102/1000)*$N$2*$H$93))</f>
        <v/>
      </c>
      <c r="K102" s="21" t="n">
        <f aca="false">IF(G102="","",G102/$H$91)</f>
        <v>9.18367346938776</v>
      </c>
    </row>
    <row r="103" customFormat="false" ht="14.25" hidden="false" customHeight="false" outlineLevel="0" collapsed="false">
      <c r="A103" s="18" t="n">
        <v>500</v>
      </c>
      <c r="B103" s="18"/>
      <c r="C103" s="37" t="n">
        <f aca="false">$B$94</f>
        <v>30</v>
      </c>
      <c r="D103" s="20" t="str">
        <f aca="false">IF(OR(A103="",B103=""),"",A103*C103/((B103/1000)*$N$2*$B$93))</f>
        <v/>
      </c>
      <c r="E103" s="21" t="n">
        <f aca="false">IF(A103="","",A103/$B$91)</f>
        <v>10.2040816326531</v>
      </c>
      <c r="G103" s="18" t="n">
        <v>500</v>
      </c>
      <c r="H103" s="18"/>
      <c r="I103" s="37" t="n">
        <f aca="false">$H$94</f>
        <v>30</v>
      </c>
      <c r="J103" s="20" t="str">
        <f aca="false">IF(OR(G103="",H103=""),"",G103*I103/((H103/1000)*$N$2*$H$93))</f>
        <v/>
      </c>
      <c r="K103" s="21" t="n">
        <f aca="false">IF(G103="","",G103/$H$91)</f>
        <v>10.2040816326531</v>
      </c>
    </row>
    <row r="104" customFormat="false" ht="14.25" hidden="false" customHeight="false" outlineLevel="0" collapsed="false">
      <c r="A104" s="18" t="n">
        <v>550</v>
      </c>
      <c r="B104" s="18"/>
      <c r="C104" s="37" t="n">
        <f aca="false">$B$94</f>
        <v>30</v>
      </c>
      <c r="D104" s="20" t="str">
        <f aca="false">IF(OR(A104="",B104=""),"",A104*C104/((B104/1000)*$N$2*$B$93))</f>
        <v/>
      </c>
      <c r="E104" s="21" t="n">
        <f aca="false">IF(A104="","",A104/$B$91)</f>
        <v>11.2244897959184</v>
      </c>
      <c r="G104" s="18" t="n">
        <v>550</v>
      </c>
      <c r="H104" s="18"/>
      <c r="I104" s="37" t="n">
        <f aca="false">$H$94</f>
        <v>30</v>
      </c>
      <c r="J104" s="20" t="str">
        <f aca="false">IF(OR(G104="",H104=""),"",G104*I104/((H104/1000)*$N$2*$H$93))</f>
        <v/>
      </c>
      <c r="K104" s="21" t="n">
        <f aca="false">IF(G104="","",G104/$H$91)</f>
        <v>11.2244897959184</v>
      </c>
    </row>
    <row r="105" customFormat="false" ht="14.25" hidden="false" customHeight="false" outlineLevel="0" collapsed="false">
      <c r="A105" s="18" t="n">
        <v>600</v>
      </c>
      <c r="B105" s="18"/>
      <c r="C105" s="37" t="n">
        <f aca="false">$B$94</f>
        <v>30</v>
      </c>
      <c r="D105" s="20" t="str">
        <f aca="false">IF(OR(A105="",B105=""),"",A105*C105/((B105/1000)*$N$2*$B$93))</f>
        <v/>
      </c>
      <c r="E105" s="21" t="n">
        <f aca="false">IF(A105="","",A105/$B$91)</f>
        <v>12.2448979591837</v>
      </c>
      <c r="G105" s="18" t="n">
        <v>600</v>
      </c>
      <c r="H105" s="18"/>
      <c r="I105" s="37" t="n">
        <f aca="false">$H$94</f>
        <v>30</v>
      </c>
      <c r="J105" s="20" t="str">
        <f aca="false">IF(OR(G105="",H105=""),"",G105*I105/((H105/1000)*$N$2*$H$93))</f>
        <v/>
      </c>
      <c r="K105" s="21" t="n">
        <f aca="false">IF(G105="","",G105/$H$91)</f>
        <v>12.2448979591837</v>
      </c>
    </row>
    <row r="106" customFormat="false" ht="14.25" hidden="false" customHeight="false" outlineLevel="0" collapsed="false">
      <c r="A106" s="18" t="n">
        <v>650</v>
      </c>
      <c r="B106" s="18"/>
      <c r="C106" s="37" t="n">
        <f aca="false">$B$94</f>
        <v>30</v>
      </c>
      <c r="D106" s="20" t="str">
        <f aca="false">IF(OR(A106="",B106=""),"",A106*C106/((B106/1000)*$N$2*$B$93))</f>
        <v/>
      </c>
      <c r="E106" s="21" t="n">
        <f aca="false">IF(A106="","",A106/$B$91)</f>
        <v>13.265306122449</v>
      </c>
      <c r="G106" s="18" t="n">
        <v>650</v>
      </c>
      <c r="H106" s="18"/>
      <c r="I106" s="37" t="n">
        <f aca="false">$H$94</f>
        <v>30</v>
      </c>
      <c r="J106" s="20" t="str">
        <f aca="false">IF(OR(G106="",H106=""),"",G106*I106/((H106/1000)*$N$2*$H$93))</f>
        <v/>
      </c>
      <c r="K106" s="21" t="n">
        <f aca="false">IF(G106="","",G106/$H$91)</f>
        <v>13.265306122449</v>
      </c>
    </row>
    <row r="107" customFormat="false" ht="14.25" hidden="false" customHeight="false" outlineLevel="0" collapsed="false">
      <c r="A107" s="18" t="n">
        <v>700</v>
      </c>
      <c r="B107" s="18"/>
      <c r="C107" s="37" t="n">
        <f aca="false">$B$94</f>
        <v>30</v>
      </c>
      <c r="D107" s="20" t="str">
        <f aca="false">IF(OR(A107="",B107=""),"",A107*C107/((B107/1000)*$N$2*$B$93))</f>
        <v/>
      </c>
      <c r="E107" s="21" t="n">
        <f aca="false">IF(A107="","",A107/$B$91)</f>
        <v>14.2857142857143</v>
      </c>
      <c r="G107" s="18" t="n">
        <v>700</v>
      </c>
      <c r="H107" s="18"/>
      <c r="I107" s="37" t="n">
        <f aca="false">$H$94</f>
        <v>30</v>
      </c>
      <c r="J107" s="20" t="str">
        <f aca="false">IF(OR(G107="",H107=""),"",G107*I107/((H107/1000)*$N$2*$H$93))</f>
        <v/>
      </c>
      <c r="K107" s="21" t="n">
        <f aca="false">IF(G107="","",G107/$H$91)</f>
        <v>14.2857142857143</v>
      </c>
    </row>
    <row r="108" customFormat="false" ht="14.25" hidden="false" customHeight="false" outlineLevel="0" collapsed="false">
      <c r="A108" s="18" t="n">
        <v>750</v>
      </c>
      <c r="B108" s="18"/>
      <c r="C108" s="37" t="n">
        <f aca="false">$B$94</f>
        <v>30</v>
      </c>
      <c r="D108" s="20" t="str">
        <f aca="false">IF(OR(A108="",B108=""),"",A108*C108/((B108/1000)*$N$2*$B$93))</f>
        <v/>
      </c>
      <c r="E108" s="21" t="n">
        <f aca="false">IF(A108="","",A108/$B$91)</f>
        <v>15.3061224489796</v>
      </c>
      <c r="G108" s="18" t="n">
        <v>750</v>
      </c>
      <c r="H108" s="18"/>
      <c r="I108" s="37" t="n">
        <f aca="false">$H$94</f>
        <v>30</v>
      </c>
      <c r="J108" s="20" t="str">
        <f aca="false">IF(OR(G108="",H108=""),"",G108*I108/((H108/1000)*$N$2*$H$93))</f>
        <v/>
      </c>
      <c r="K108" s="21" t="n">
        <f aca="false">IF(G108="","",G108/$H$91)</f>
        <v>15.3061224489796</v>
      </c>
    </row>
    <row r="109" customFormat="false" ht="14.25" hidden="false" customHeight="false" outlineLevel="0" collapsed="false">
      <c r="A109" s="18" t="n">
        <v>800</v>
      </c>
      <c r="B109" s="18"/>
      <c r="C109" s="37" t="n">
        <f aca="false">$B$94</f>
        <v>30</v>
      </c>
      <c r="D109" s="20" t="str">
        <f aca="false">IF(OR(A109="",B109=""),"",A109*C109/((B109/1000)*$N$2*$B$93))</f>
        <v/>
      </c>
      <c r="E109" s="21" t="n">
        <f aca="false">IF(A109="","",A109/$B$91)</f>
        <v>16.3265306122449</v>
      </c>
      <c r="G109" s="18" t="n">
        <v>800</v>
      </c>
      <c r="H109" s="18"/>
      <c r="I109" s="37" t="n">
        <f aca="false">$H$94</f>
        <v>30</v>
      </c>
      <c r="J109" s="20" t="str">
        <f aca="false">IF(OR(G109="",H109=""),"",G109*I109/((H109/1000)*$N$2*$H$93))</f>
        <v/>
      </c>
      <c r="K109" s="21" t="n">
        <f aca="false">IF(G109="","",G109/$H$91)</f>
        <v>16.3265306122449</v>
      </c>
    </row>
    <row r="110" customFormat="false" ht="14.25" hidden="false" customHeight="false" outlineLevel="0" collapsed="false">
      <c r="A110" s="18" t="n">
        <v>850</v>
      </c>
      <c r="B110" s="18"/>
      <c r="C110" s="37" t="n">
        <f aca="false">$B$94</f>
        <v>30</v>
      </c>
      <c r="D110" s="20" t="str">
        <f aca="false">IF(OR(A110="",B110=""),"",A110*C110/((B110/1000)*$N$2*$B$93))</f>
        <v/>
      </c>
      <c r="E110" s="21" t="n">
        <f aca="false">IF(A110="","",A110/$B$91)</f>
        <v>17.3469387755102</v>
      </c>
      <c r="G110" s="18" t="n">
        <v>850</v>
      </c>
      <c r="H110" s="18"/>
      <c r="I110" s="37" t="n">
        <f aca="false">$H$94</f>
        <v>30</v>
      </c>
      <c r="J110" s="20" t="str">
        <f aca="false">IF(OR(G110="",H110=""),"",G110*I110/((H110/1000)*$N$2*$H$93))</f>
        <v/>
      </c>
      <c r="K110" s="21" t="n">
        <f aca="false">IF(G110="","",G110/$H$91)</f>
        <v>17.3469387755102</v>
      </c>
    </row>
    <row r="111" customFormat="false" ht="14.25" hidden="false" customHeight="false" outlineLevel="0" collapsed="false">
      <c r="A111" s="18" t="n">
        <v>900</v>
      </c>
      <c r="B111" s="18"/>
      <c r="C111" s="37" t="n">
        <f aca="false">$B$94</f>
        <v>30</v>
      </c>
      <c r="D111" s="20" t="str">
        <f aca="false">IF(OR(A111="",B111=""),"",A111*C111/((B111/1000)*$N$2*$B$93))</f>
        <v/>
      </c>
      <c r="E111" s="21" t="n">
        <f aca="false">IF(A111="","",A111/$B$91)</f>
        <v>18.3673469387755</v>
      </c>
      <c r="G111" s="18" t="n">
        <v>900</v>
      </c>
      <c r="H111" s="18"/>
      <c r="I111" s="37" t="n">
        <f aca="false">$H$94</f>
        <v>30</v>
      </c>
      <c r="J111" s="20" t="str">
        <f aca="false">IF(OR(G111="",H111=""),"",G111*I111/((H111/1000)*$N$2*$H$93))</f>
        <v/>
      </c>
      <c r="K111" s="21" t="n">
        <f aca="false">IF(G111="","",G111/$H$91)</f>
        <v>18.3673469387755</v>
      </c>
    </row>
    <row r="112" customFormat="false" ht="14.25" hidden="false" customHeight="false" outlineLevel="0" collapsed="false">
      <c r="A112" s="37"/>
      <c r="B112" s="37"/>
      <c r="C112" s="37"/>
      <c r="D112" s="37"/>
      <c r="E112" s="37"/>
      <c r="G112" s="37"/>
      <c r="H112" s="37"/>
      <c r="I112" s="37"/>
      <c r="J112" s="37"/>
      <c r="K112" s="37"/>
    </row>
    <row r="113" customFormat="false" ht="14.25" hidden="false" customHeight="false" outlineLevel="0" collapsed="false">
      <c r="A113" s="37"/>
      <c r="B113" s="37"/>
      <c r="C113" s="37"/>
      <c r="D113" s="37"/>
      <c r="E113" s="37"/>
      <c r="G113" s="37"/>
      <c r="H113" s="37"/>
      <c r="I113" s="37"/>
      <c r="J113" s="37"/>
      <c r="K113" s="37"/>
    </row>
    <row r="114" customFormat="false" ht="14.25" hidden="false" customHeight="false" outlineLevel="0" collapsed="false">
      <c r="A114" s="38"/>
      <c r="B114" s="38"/>
      <c r="C114" s="38"/>
      <c r="D114" s="38"/>
      <c r="E114" s="38"/>
      <c r="G114" s="38"/>
      <c r="H114" s="38"/>
      <c r="I114" s="38"/>
      <c r="J114" s="38"/>
      <c r="K114" s="38"/>
    </row>
  </sheetData>
  <mergeCells count="2">
    <mergeCell ref="A1:K1"/>
    <mergeCell ref="A60:K6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2021-02-22T15:43:55Z</dcterms:created>
  <dc:creator>Rodrigo Messias</dc:creator>
  <dc:description/>
  <dc:language>en-US</dc:language>
  <cp:lastModifiedBy/>
  <dcterms:modified xsi:type="dcterms:W3CDTF">2026-10-11T22:48:44Z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