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<sst xmlns="http://schemas.openxmlformats.org/spreadsheetml/2006/main" count="143" uniqueCount="31">
  <si>
    <t xml:space="preserve">Part 1</t>
  </si>
  <si>
    <t xml:space="preserve">Sample</t>
  </si>
  <si>
    <t xml:space="preserve">Methane</t>
  </si>
  <si>
    <t xml:space="preserve">R</t>
  </si>
  <si>
    <t xml:space="preserve">cm3·bar/(mol·K)</t>
  </si>
  <si>
    <t xml:space="preserve">Tc</t>
  </si>
  <si>
    <t xml:space="preserve">K</t>
  </si>
  <si>
    <t xml:space="preserve">Pc</t>
  </si>
  <si>
    <t xml:space="preserve">bar</t>
  </si>
  <si>
    <t xml:space="preserve">Legend</t>
  </si>
  <si>
    <t xml:space="preserve">Tr</t>
  </si>
  <si>
    <t xml:space="preserve">Blue text = input data (SOPE readings; ethane Part 1 = PR-EOS estimate)</t>
  </si>
  <si>
    <t xml:space="preserve">T1</t>
  </si>
  <si>
    <t xml:space="preserve">°C</t>
  </si>
  <si>
    <t xml:space="preserve">Black text = formula (do not edit)</t>
  </si>
  <si>
    <t xml:space="preserve">n</t>
  </si>
  <si>
    <t xml:space="preserve">millimol</t>
  </si>
  <si>
    <t xml:space="preserve">Part 1 inputs: p, V. Part 2 inputs: V1, p, n</t>
  </si>
  <si>
    <t xml:space="preserve">n = 1 millimol charged at 1 bar for each Part 1 run</t>
  </si>
  <si>
    <t xml:space="preserve">p (bar)</t>
  </si>
  <si>
    <t xml:space="preserve">V (cm3/mol)</t>
  </si>
  <si>
    <t xml:space="preserve">Vid(cm3/mol)</t>
  </si>
  <si>
    <t xml:space="preserve">Z</t>
  </si>
  <si>
    <t xml:space="preserve">pr</t>
  </si>
  <si>
    <t xml:space="preserve">Pressure steps: Part 1 uses 10 bar steps from 1 to 175 bar (19 pts) to resolve the Z minimum near pr 1.5-2.5; Part 2 adds moles at fixed V~30 cm3 to ~400 bar (pr ~8).</t>
  </si>
  <si>
    <t xml:space="preserve">Ethane Part 1 V values (rows 39-57) are Peng-Robinson EOS estimates (Tc=305.3 K, Pc=49 bar, w=0.099), not SOPE readings.</t>
  </si>
  <si>
    <t xml:space="preserve">Ethane</t>
  </si>
  <si>
    <t xml:space="preserve">Part 2</t>
  </si>
  <si>
    <t xml:space="preserve">V1 (cm3)</t>
  </si>
  <si>
    <t xml:space="preserve">n (millimole)</t>
  </si>
  <si>
    <t xml:space="preserve">V (cm3)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</si>
</sst>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0.000"/>
    <numFmt numFmtId="168" formatCode="0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1"/>
      <color rgb="FFC00000"/>
      <name val="Calibri"/>
      <family val="0"/>
      <charset val="1"/>
    </font>
    <font>
      <b val="true"/>
      <sz val="18"/>
      <color rgb="FF595959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  <fill>
      <patternFill patternType="solid">
        <fgColor theme="2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595959"/>
                </a:solidFill>
                <a:latin typeface="Calibri"/>
              </a:rPr>
              <a:t>Z vs. Reduced Pressure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6136221806187"/>
          <c:y val="0.104916965157929"/>
          <c:w val="0.833467058928412"/>
          <c:h val="0.870400521002931"/>
        </c:manualLayout>
      </c:layout>
      <c:scatterChart>
        <c:scatterStyle val="lineMarker"/>
        <c:varyColors val="0"/>
        <c:ser>
          <c:idx val="0"/>
          <c:order val="0"/>
          <c:tx>
            <c:strRef>
              <c:f>"Methane 1.1"</c:f>
              <c:strCache>
                <c:ptCount val="1"/>
                <c:pt idx="0">
                  <c:v>Methane 1.1</c:v>
                </c:pt>
              </c:strCache>
            </c:strRef>
          </c:tx>
          <c:spPr>
            <a:solidFill>
              <a:srgbClr val="4472c4"/>
            </a:solidFill>
            <a:ln w="25560">
              <a:noFill/>
            </a:ln>
          </c:spPr>
          <c:marker>
            <c:symbol val="triang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Lab2!$E$10:$E$28,Lab2!$E$68:$E$86</c:f>
              <c:numCache>
                <c:formatCode>0.000</c:formatCode>
                <c:ptCount val="38"/>
                <c:pt idx="0">
                  <c:v>0.0216919739696312</c:v>
                </c:pt>
                <c:pt idx="1">
                  <c:v>0.216919739696312</c:v>
                </c:pt>
                <c:pt idx="2">
                  <c:v>0.433839479392625</c:v>
                </c:pt>
                <c:pt idx="3">
                  <c:v>0.650759219088937</c:v>
                </c:pt>
                <c:pt idx="4">
                  <c:v>0.86767895878525</c:v>
                </c:pt>
                <c:pt idx="5">
                  <c:v>1.08459869848156</c:v>
                </c:pt>
                <c:pt idx="6">
                  <c:v>1.30151843817787</c:v>
                </c:pt>
                <c:pt idx="7">
                  <c:v>1.51843817787419</c:v>
                </c:pt>
                <c:pt idx="8">
                  <c:v>1.7353579175705</c:v>
                </c:pt>
                <c:pt idx="9">
                  <c:v>1.95227765726681</c:v>
                </c:pt>
                <c:pt idx="10">
                  <c:v>2.16919739696312</c:v>
                </c:pt>
                <c:pt idx="11">
                  <c:v>2.38611713665944</c:v>
                </c:pt>
                <c:pt idx="12">
                  <c:v>2.60303687635575</c:v>
                </c:pt>
                <c:pt idx="13">
                  <c:v>2.81995661605206</c:v>
                </c:pt>
                <c:pt idx="14">
                  <c:v>3.03687635574837</c:v>
                </c:pt>
                <c:pt idx="15">
                  <c:v>3.25379609544469</c:v>
                </c:pt>
                <c:pt idx="16">
                  <c:v>3.470715835141</c:v>
                </c:pt>
                <c:pt idx="17">
                  <c:v>3.68763557483731</c:v>
                </c:pt>
                <c:pt idx="18">
                  <c:v>3.79609544468547</c:v>
                </c:pt>
                <c:pt idx="19">
                  <c:v>3.79609544468547</c:v>
                </c:pt>
                <c:pt idx="20">
                  <c:v>3.98872017353579</c:v>
                </c:pt>
                <c:pt idx="21">
                  <c:v>4.25162689804772</c:v>
                </c:pt>
                <c:pt idx="22">
                  <c:v>4.54164859002169</c:v>
                </c:pt>
                <c:pt idx="23">
                  <c:v>4.86160520607375</c:v>
                </c:pt>
                <c:pt idx="24">
                  <c:v>5.21496746203905</c:v>
                </c:pt>
                <c:pt idx="25">
                  <c:v>5.40520607375271</c:v>
                </c:pt>
                <c:pt idx="26">
                  <c:v>5.60520607375271</c:v>
                </c:pt>
                <c:pt idx="27">
                  <c:v>5.81540130151844</c:v>
                </c:pt>
                <c:pt idx="28">
                  <c:v>6.03665943600868</c:v>
                </c:pt>
                <c:pt idx="29">
                  <c:v>6.26919739696312</c:v>
                </c:pt>
                <c:pt idx="30">
                  <c:v>6.61496746203905</c:v>
                </c:pt>
                <c:pt idx="31">
                  <c:v>7.04186550976139</c:v>
                </c:pt>
                <c:pt idx="32">
                  <c:v>7.44511930585683</c:v>
                </c:pt>
                <c:pt idx="33">
                  <c:v>7.75140997830803</c:v>
                </c:pt>
                <c:pt idx="34">
                  <c:v>8.00824295010846</c:v>
                </c:pt>
                <c:pt idx="35">
                  <c:v>8.20802603036876</c:v>
                </c:pt>
                <c:pt idx="36">
                  <c:v>8.41409978308026</c:v>
                </c:pt>
                <c:pt idx="37">
                  <c:v>8.62689804772234</c:v>
                </c:pt>
              </c:numCache>
            </c:numRef>
          </c:xVal>
          <c:yVal>
            <c:numRef>
              <c:f>Lab2!$D$10:$D$28,Lab2!$D$68:$D$86</c:f>
              <c:numCache>
                <c:formatCode>0.0000</c:formatCode>
                <c:ptCount val="38"/>
                <c:pt idx="0">
                  <c:v>0.992486269947856</c:v>
                </c:pt>
                <c:pt idx="1">
                  <c:v>0.930807239739088</c:v>
                </c:pt>
                <c:pt idx="2">
                  <c:v>0.859559699263558</c:v>
                </c:pt>
                <c:pt idx="3">
                  <c:v>0.784755518281198</c:v>
                </c:pt>
                <c:pt idx="4">
                  <c:v>0.705132663063779</c:v>
                </c:pt>
                <c:pt idx="5">
                  <c:v>0.619830656069324</c:v>
                </c:pt>
                <c:pt idx="6">
                  <c:v>0.529365783823019</c:v>
                </c:pt>
                <c:pt idx="7">
                  <c:v>0.450144484791854</c:v>
                </c:pt>
                <c:pt idx="8">
                  <c:v>0.412111377436559</c:v>
                </c:pt>
                <c:pt idx="9">
                  <c:v>0.406833781845779</c:v>
                </c:pt>
                <c:pt idx="10">
                  <c:v>0.415323826926599</c:v>
                </c:pt>
                <c:pt idx="11">
                  <c:v>0.430353501326429</c:v>
                </c:pt>
                <c:pt idx="12">
                  <c:v>0.448825085894159</c:v>
                </c:pt>
                <c:pt idx="13">
                  <c:v>0.468329243512259</c:v>
                </c:pt>
                <c:pt idx="14">
                  <c:v>0.489095434858589</c:v>
                </c:pt>
                <c:pt idx="15">
                  <c:v>0.511123659933149</c:v>
                </c:pt>
                <c:pt idx="16">
                  <c:v>0.533266615346639</c:v>
                </c:pt>
                <c:pt idx="17">
                  <c:v>0.554893284234944</c:v>
                </c:pt>
                <c:pt idx="18">
                  <c:v>0.566194222619549</c:v>
                </c:pt>
                <c:pt idx="19">
                  <c:v>0.566481048466874</c:v>
                </c:pt>
                <c:pt idx="20">
                  <c:v>0.586407753673981</c:v>
                </c:pt>
                <c:pt idx="21">
                  <c:v>0.613694668942731</c:v>
                </c:pt>
                <c:pt idx="22">
                  <c:v>0.643851030066479</c:v>
                </c:pt>
                <c:pt idx="23">
                  <c:v>0.677118573772777</c:v>
                </c:pt>
                <c:pt idx="24">
                  <c:v>0.713811439552138</c:v>
                </c:pt>
                <c:pt idx="25">
                  <c:v>0.7335273040636</c:v>
                </c:pt>
                <c:pt idx="26">
                  <c:v>0.754222469302498</c:v>
                </c:pt>
                <c:pt idx="27">
                  <c:v>0.775930132809734</c:v>
                </c:pt>
                <c:pt idx="28">
                  <c:v>0.798739788954421</c:v>
                </c:pt>
                <c:pt idx="29">
                  <c:v>0.822652580107322</c:v>
                </c:pt>
                <c:pt idx="30">
                  <c:v>0.85809660624039</c:v>
                </c:pt>
                <c:pt idx="31">
                  <c:v>0.901687254841864</c:v>
                </c:pt>
                <c:pt idx="32">
                  <c:v>0.942679396144487</c:v>
                </c:pt>
                <c:pt idx="33">
                  <c:v>0.973696308689595</c:v>
                </c:pt>
                <c:pt idx="34">
                  <c:v>0.99963169710365</c:v>
                </c:pt>
                <c:pt idx="35">
                  <c:v>1.01975950288782</c:v>
                </c:pt>
                <c:pt idx="36">
                  <c:v>1.04047709505458</c:v>
                </c:pt>
                <c:pt idx="37">
                  <c:v>1.06182964255014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"Methane 1.5"</c:f>
              <c:strCache>
                <c:ptCount val="1"/>
                <c:pt idx="0">
                  <c:v>Methane 1.5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triang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Lab2!$K$10:$K$28,Lab2!$K$68:$K$86</c:f>
              <c:numCache>
                <c:formatCode>0.000</c:formatCode>
                <c:ptCount val="38"/>
                <c:pt idx="0">
                  <c:v>0.0216919739696312</c:v>
                </c:pt>
                <c:pt idx="1">
                  <c:v>0.216919739696312</c:v>
                </c:pt>
                <c:pt idx="2">
                  <c:v>0.433839479392625</c:v>
                </c:pt>
                <c:pt idx="3">
                  <c:v>0.650759219088937</c:v>
                </c:pt>
                <c:pt idx="4">
                  <c:v>0.86767895878525</c:v>
                </c:pt>
                <c:pt idx="5">
                  <c:v>1.08459869848156</c:v>
                </c:pt>
                <c:pt idx="6">
                  <c:v>1.30151843817787</c:v>
                </c:pt>
                <c:pt idx="7">
                  <c:v>1.51843817787419</c:v>
                </c:pt>
                <c:pt idx="8">
                  <c:v>1.7353579175705</c:v>
                </c:pt>
                <c:pt idx="9">
                  <c:v>1.95227765726681</c:v>
                </c:pt>
                <c:pt idx="10">
                  <c:v>2.16919739696312</c:v>
                </c:pt>
                <c:pt idx="11">
                  <c:v>2.38611713665944</c:v>
                </c:pt>
                <c:pt idx="12">
                  <c:v>2.60303687635575</c:v>
                </c:pt>
                <c:pt idx="13">
                  <c:v>2.81995661605206</c:v>
                </c:pt>
                <c:pt idx="14">
                  <c:v>3.03687635574837</c:v>
                </c:pt>
                <c:pt idx="15">
                  <c:v>3.25379609544469</c:v>
                </c:pt>
                <c:pt idx="16">
                  <c:v>3.470715835141</c:v>
                </c:pt>
                <c:pt idx="17">
                  <c:v>3.68763557483731</c:v>
                </c:pt>
                <c:pt idx="18">
                  <c:v>3.79609544468547</c:v>
                </c:pt>
                <c:pt idx="19">
                  <c:v>3.79609544468547</c:v>
                </c:pt>
                <c:pt idx="20">
                  <c:v>3.87028199566161</c:v>
                </c:pt>
                <c:pt idx="21">
                  <c:v>4.02234273318872</c:v>
                </c:pt>
                <c:pt idx="22">
                  <c:v>4.17939262472885</c:v>
                </c:pt>
                <c:pt idx="23">
                  <c:v>4.42624728850325</c:v>
                </c:pt>
                <c:pt idx="24">
                  <c:v>4.6880694143167</c:v>
                </c:pt>
                <c:pt idx="25">
                  <c:v>4.96659436008677</c:v>
                </c:pt>
                <c:pt idx="26">
                  <c:v>5.26420824295011</c:v>
                </c:pt>
                <c:pt idx="27">
                  <c:v>5.58351409978308</c:v>
                </c:pt>
                <c:pt idx="28">
                  <c:v>5.92733188720174</c:v>
                </c:pt>
                <c:pt idx="29">
                  <c:v>6.29891540130152</c:v>
                </c:pt>
                <c:pt idx="30">
                  <c:v>6.70173535791757</c:v>
                </c:pt>
                <c:pt idx="31">
                  <c:v>7.13991323210412</c:v>
                </c:pt>
                <c:pt idx="32">
                  <c:v>7.45379609544469</c:v>
                </c:pt>
                <c:pt idx="33">
                  <c:v>7.78720173535792</c:v>
                </c:pt>
                <c:pt idx="34">
                  <c:v>7.99718004338395</c:v>
                </c:pt>
                <c:pt idx="35">
                  <c:v>8.21496746203905</c:v>
                </c:pt>
                <c:pt idx="36">
                  <c:v>8.441431670282</c:v>
                </c:pt>
                <c:pt idx="37">
                  <c:v>8.6765726681128</c:v>
                </c:pt>
              </c:numCache>
            </c:numRef>
          </c:xVal>
          <c:yVal>
            <c:numRef>
              <c:f>Lab2!$J$10:$J$28,Lab2!$J$68:$J$86</c:f>
              <c:numCache>
                <c:formatCode>0.0000</c:formatCode>
                <c:ptCount val="38"/>
                <c:pt idx="0">
                  <c:v>0.996838374137934</c:v>
                </c:pt>
                <c:pt idx="1">
                  <c:v>0.972144580855567</c:v>
                </c:pt>
                <c:pt idx="2">
                  <c:v>0.94576807593556</c:v>
                </c:pt>
                <c:pt idx="3">
                  <c:v>0.920653604743783</c:v>
                </c:pt>
                <c:pt idx="4">
                  <c:v>0.896885302862118</c:v>
                </c:pt>
                <c:pt idx="5">
                  <c:v>0.874799712618093</c:v>
                </c:pt>
                <c:pt idx="6">
                  <c:v>0.854396834011708</c:v>
                </c:pt>
                <c:pt idx="7">
                  <c:v>0.836013209370491</c:v>
                </c:pt>
                <c:pt idx="8">
                  <c:v>0.819817109858206</c:v>
                </c:pt>
                <c:pt idx="9">
                  <c:v>0.80568233210203</c:v>
                </c:pt>
                <c:pt idx="10">
                  <c:v>0.793819215056668</c:v>
                </c:pt>
                <c:pt idx="11">
                  <c:v>0.784353962094943</c:v>
                </c:pt>
                <c:pt idx="12">
                  <c:v>0.777412776589678</c:v>
                </c:pt>
                <c:pt idx="13">
                  <c:v>0.772743251795227</c:v>
                </c:pt>
                <c:pt idx="14">
                  <c:v>0.769756438638416</c:v>
                </c:pt>
                <c:pt idx="15">
                  <c:v>0.769209557356183</c:v>
                </c:pt>
                <c:pt idx="16">
                  <c:v>0.770008845384062</c:v>
                </c:pt>
                <c:pt idx="17">
                  <c:v>0.773079794122755</c:v>
                </c:pt>
                <c:pt idx="18">
                  <c:v>0.774468031223808</c:v>
                </c:pt>
                <c:pt idx="19">
                  <c:v>0.774674680021413</c:v>
                </c:pt>
                <c:pt idx="20">
                  <c:v>0.77619655323517</c:v>
                </c:pt>
                <c:pt idx="21">
                  <c:v>0.779803026403155</c:v>
                </c:pt>
                <c:pt idx="22">
                  <c:v>0.784112859371831</c:v>
                </c:pt>
                <c:pt idx="23">
                  <c:v>0.792098901285895</c:v>
                </c:pt>
                <c:pt idx="24">
                  <c:v>0.801940624809663</c:v>
                </c:pt>
                <c:pt idx="25">
                  <c:v>0.813687109863103</c:v>
                </c:pt>
                <c:pt idx="26">
                  <c:v>0.827481770410271</c:v>
                </c:pt>
                <c:pt idx="27">
                  <c:v>0.843478439357192</c:v>
                </c:pt>
                <c:pt idx="28">
                  <c:v>0.861839415000251</c:v>
                </c:pt>
                <c:pt idx="29">
                  <c:v>0.882764331450824</c:v>
                </c:pt>
                <c:pt idx="30">
                  <c:v>0.906454306736152</c:v>
                </c:pt>
                <c:pt idx="31">
                  <c:v>0.933168394411284</c:v>
                </c:pt>
                <c:pt idx="32">
                  <c:v>0.952781266705846</c:v>
                </c:pt>
                <c:pt idx="33">
                  <c:v>0.973992406310941</c:v>
                </c:pt>
                <c:pt idx="34">
                  <c:v>0.987513552572592</c:v>
                </c:pt>
                <c:pt idx="35">
                  <c:v>1.001646705004</c:v>
                </c:pt>
                <c:pt idx="36">
                  <c:v>1.01647353733386</c:v>
                </c:pt>
                <c:pt idx="37">
                  <c:v>1.03196851533278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"Ethane 1.1"</c:f>
              <c:strCache>
                <c:ptCount val="1"/>
                <c:pt idx="0">
                  <c:v>Ethane 1.1</c:v>
                </c:pt>
              </c:strCache>
            </c:strRef>
          </c:tx>
          <c:spPr>
            <a:solidFill>
              <a:srgbClr val="ffc000"/>
            </a:solidFill>
            <a:ln w="25560">
              <a:noFill/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Lab2!$E$39:$E$57,Lab2!$E$96:$E$114</c:f>
              <c:numCache>
                <c:formatCode>0.000</c:formatCode>
                <c:ptCount val="38"/>
                <c:pt idx="0">
                  <c:v>0.0204081632653061</c:v>
                </c:pt>
                <c:pt idx="1">
                  <c:v>0.204081632653061</c:v>
                </c:pt>
                <c:pt idx="2">
                  <c:v>0.408163265306122</c:v>
                </c:pt>
                <c:pt idx="3">
                  <c:v>0.612244897959184</c:v>
                </c:pt>
                <c:pt idx="4">
                  <c:v>0.816326530612245</c:v>
                </c:pt>
                <c:pt idx="5">
                  <c:v>1.02040816326531</c:v>
                </c:pt>
                <c:pt idx="6">
                  <c:v>1.22448979591837</c:v>
                </c:pt>
                <c:pt idx="7">
                  <c:v>1.42857142857143</c:v>
                </c:pt>
                <c:pt idx="8">
                  <c:v>1.63265306122449</c:v>
                </c:pt>
                <c:pt idx="9">
                  <c:v>1.83673469387755</c:v>
                </c:pt>
                <c:pt idx="10">
                  <c:v>2.04081632653061</c:v>
                </c:pt>
                <c:pt idx="11">
                  <c:v>2.24489795918367</c:v>
                </c:pt>
                <c:pt idx="12">
                  <c:v>2.44897959183673</c:v>
                </c:pt>
                <c:pt idx="13">
                  <c:v>2.6530612244898</c:v>
                </c:pt>
                <c:pt idx="14">
                  <c:v>2.85714285714286</c:v>
                </c:pt>
                <c:pt idx="15">
                  <c:v>3.06122448979592</c:v>
                </c:pt>
                <c:pt idx="16">
                  <c:v>3.26530612244898</c:v>
                </c:pt>
                <c:pt idx="17">
                  <c:v>3.46938775510204</c:v>
                </c:pt>
                <c:pt idx="18">
                  <c:v>3.57142857142857</c:v>
                </c:pt>
                <c:pt idx="19">
                  <c:v>3.57142857142857</c:v>
                </c:pt>
                <c:pt idx="20">
                  <c:v>3.63224489795918</c:v>
                </c:pt>
                <c:pt idx="21">
                  <c:v>3.79244897959184</c:v>
                </c:pt>
                <c:pt idx="22">
                  <c:v>3.96408163265306</c:v>
                </c:pt>
                <c:pt idx="23">
                  <c:v>4.14857142857143</c:v>
                </c:pt>
                <c:pt idx="24">
                  <c:v>4.34673469387755</c:v>
                </c:pt>
                <c:pt idx="25">
                  <c:v>4.55938775510204</c:v>
                </c:pt>
                <c:pt idx="26">
                  <c:v>4.78816326530612</c:v>
                </c:pt>
                <c:pt idx="27">
                  <c:v>5.03387755102041</c:v>
                </c:pt>
                <c:pt idx="28">
                  <c:v>5.29795918367347</c:v>
                </c:pt>
                <c:pt idx="29">
                  <c:v>5.58224489795918</c:v>
                </c:pt>
                <c:pt idx="30">
                  <c:v>5.88795918367347</c:v>
                </c:pt>
                <c:pt idx="31">
                  <c:v>6.21714285714286</c:v>
                </c:pt>
                <c:pt idx="32">
                  <c:v>6.57163265306122</c:v>
                </c:pt>
                <c:pt idx="33">
                  <c:v>7.28040816326531</c:v>
                </c:pt>
                <c:pt idx="34">
                  <c:v>7.53877551020408</c:v>
                </c:pt>
                <c:pt idx="35">
                  <c:v>7.80918367346939</c:v>
                </c:pt>
                <c:pt idx="36">
                  <c:v>7.9965306122449</c:v>
                </c:pt>
                <c:pt idx="37">
                  <c:v>8.09244897959184</c:v>
                </c:pt>
              </c:numCache>
            </c:numRef>
          </c:xVal>
          <c:yVal>
            <c:numRef>
              <c:f>Lab2!$D$39:$D$57,Lab2!$D$96:$D$114</c:f>
              <c:numCache>
                <c:formatCode>0.0000</c:formatCode>
                <c:ptCount val="38"/>
                <c:pt idx="0">
                  <c:v>0.994051935094183</c:v>
                </c:pt>
                <c:pt idx="1">
                  <c:v>0.93995594143649</c:v>
                </c:pt>
                <c:pt idx="2">
                  <c:v>0.877211035188044</c:v>
                </c:pt>
                <c:pt idx="3">
                  <c:v>0.811063865187541</c:v>
                </c:pt>
                <c:pt idx="4">
                  <c:v>0.740619098868651</c:v>
                </c:pt>
                <c:pt idx="5">
                  <c:v>0.664873963757085</c:v>
                </c:pt>
                <c:pt idx="6">
                  <c:v>0.583828459852841</c:v>
                </c:pt>
                <c:pt idx="7">
                  <c:v>0.502639702737984</c:v>
                </c:pt>
                <c:pt idx="8">
                  <c:v>0.442652420793836</c:v>
                </c:pt>
                <c:pt idx="9">
                  <c:v>0.416759402975556</c:v>
                </c:pt>
                <c:pt idx="10">
                  <c:v>0.412927379591661</c:v>
                </c:pt>
                <c:pt idx="11">
                  <c:v>0.419158894253322</c:v>
                </c:pt>
                <c:pt idx="12">
                  <c:v>0.430619151102353</c:v>
                </c:pt>
                <c:pt idx="13">
                  <c:v>0.445087725374255</c:v>
                </c:pt>
                <c:pt idx="14">
                  <c:v>0.460773951936367</c:v>
                </c:pt>
                <c:pt idx="15">
                  <c:v>0.477570390880728</c:v>
                </c:pt>
                <c:pt idx="16">
                  <c:v>0.495083095878154</c:v>
                </c:pt>
                <c:pt idx="17">
                  <c:v>0.512631614178234</c:v>
                </c:pt>
                <c:pt idx="18">
                  <c:v>0.522068419427358</c:v>
                </c:pt>
                <c:pt idx="19">
                  <c:v>0.540286893475347</c:v>
                </c:pt>
                <c:pt idx="20">
                  <c:v>0.546347280533196</c:v>
                </c:pt>
                <c:pt idx="21">
                  <c:v>0.56241008721536</c:v>
                </c:pt>
                <c:pt idx="22">
                  <c:v>0.579697992280169</c:v>
                </c:pt>
                <c:pt idx="23">
                  <c:v>0.598366698357301</c:v>
                </c:pt>
                <c:pt idx="24">
                  <c:v>0.618476378279186</c:v>
                </c:pt>
                <c:pt idx="25">
                  <c:v>0.640083995660524</c:v>
                </c:pt>
                <c:pt idx="26">
                  <c:v>0.663356610670987</c:v>
                </c:pt>
                <c:pt idx="27">
                  <c:v>0.688340979151479</c:v>
                </c:pt>
                <c:pt idx="28">
                  <c:v>0.715164105290514</c:v>
                </c:pt>
                <c:pt idx="29">
                  <c:v>0.744000962638183</c:v>
                </c:pt>
                <c:pt idx="30">
                  <c:v>0.774937196136102</c:v>
                </c:pt>
                <c:pt idx="31">
                  <c:v>0.808160334835396</c:v>
                </c:pt>
                <c:pt idx="32">
                  <c:v>0.843822555173</c:v>
                </c:pt>
                <c:pt idx="33">
                  <c:v>0.914752094642776</c:v>
                </c:pt>
                <c:pt idx="34">
                  <c:v>0.940481090054543</c:v>
                </c:pt>
                <c:pt idx="35">
                  <c:v>0.967338371312172</c:v>
                </c:pt>
                <c:pt idx="36">
                  <c:v>0.985905834562929</c:v>
                </c:pt>
                <c:pt idx="37">
                  <c:v>0.995400623907652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"Ethane 1.5"</c:f>
              <c:strCache>
                <c:ptCount val="1"/>
                <c:pt idx="0">
                  <c:v>Ethane 1.5</c:v>
                </c:pt>
              </c:strCache>
            </c:strRef>
          </c:tx>
          <c:spPr>
            <a:solidFill>
              <a:srgbClr val="5b9bd5"/>
            </a:solidFill>
            <a:ln w="25560">
              <a:noFill/>
            </a:ln>
          </c:spPr>
          <c:marker>
            <c:symbol val="squar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Lab2!$K$39:$K$57,Lab2!$K$96:$K$114</c:f>
              <c:numCache>
                <c:formatCode>0.000</c:formatCode>
                <c:ptCount val="38"/>
                <c:pt idx="0">
                  <c:v>0.0204081632653061</c:v>
                </c:pt>
                <c:pt idx="1">
                  <c:v>0.204081632653061</c:v>
                </c:pt>
                <c:pt idx="2">
                  <c:v>0.408163265306122</c:v>
                </c:pt>
                <c:pt idx="3">
                  <c:v>0.612244897959184</c:v>
                </c:pt>
                <c:pt idx="4">
                  <c:v>0.816326530612245</c:v>
                </c:pt>
                <c:pt idx="5">
                  <c:v>1.02040816326531</c:v>
                </c:pt>
                <c:pt idx="6">
                  <c:v>1.22448979591837</c:v>
                </c:pt>
                <c:pt idx="7">
                  <c:v>1.42857142857143</c:v>
                </c:pt>
                <c:pt idx="8">
                  <c:v>1.63265306122449</c:v>
                </c:pt>
                <c:pt idx="9">
                  <c:v>1.83673469387755</c:v>
                </c:pt>
                <c:pt idx="10">
                  <c:v>2.04081632653061</c:v>
                </c:pt>
                <c:pt idx="11">
                  <c:v>2.24489795918367</c:v>
                </c:pt>
                <c:pt idx="12">
                  <c:v>2.44897959183673</c:v>
                </c:pt>
                <c:pt idx="13">
                  <c:v>2.6530612244898</c:v>
                </c:pt>
                <c:pt idx="14">
                  <c:v>2.85714285714286</c:v>
                </c:pt>
                <c:pt idx="15">
                  <c:v>3.06122448979592</c:v>
                </c:pt>
                <c:pt idx="16">
                  <c:v>3.26530612244898</c:v>
                </c:pt>
                <c:pt idx="17">
                  <c:v>3.46938775510204</c:v>
                </c:pt>
                <c:pt idx="18">
                  <c:v>3.57142857142857</c:v>
                </c:pt>
                <c:pt idx="19">
                  <c:v>3.57142857142857</c:v>
                </c:pt>
                <c:pt idx="20">
                  <c:v>3.78367346938776</c:v>
                </c:pt>
                <c:pt idx="21">
                  <c:v>4.00020408163265</c:v>
                </c:pt>
                <c:pt idx="22">
                  <c:v>4.26632653061225</c:v>
                </c:pt>
                <c:pt idx="23">
                  <c:v>4.52163265306123</c:v>
                </c:pt>
                <c:pt idx="24">
                  <c:v>4.79183673469388</c:v>
                </c:pt>
                <c:pt idx="25">
                  <c:v>5.22877551020408</c:v>
                </c:pt>
                <c:pt idx="26">
                  <c:v>5.71081632653061</c:v>
                </c:pt>
                <c:pt idx="27">
                  <c:v>6.2465306122449</c:v>
                </c:pt>
                <c:pt idx="28">
                  <c:v>6.63857142857143</c:v>
                </c:pt>
                <c:pt idx="29">
                  <c:v>6.84632653061225</c:v>
                </c:pt>
                <c:pt idx="30">
                  <c:v>7.28775510204082</c:v>
                </c:pt>
                <c:pt idx="31">
                  <c:v>7.38061224489796</c:v>
                </c:pt>
                <c:pt idx="32">
                  <c:v>7.47489795918367</c:v>
                </c:pt>
                <c:pt idx="33">
                  <c:v>7.61938775510204</c:v>
                </c:pt>
                <c:pt idx="34">
                  <c:v>7.76755102040816</c:v>
                </c:pt>
                <c:pt idx="35">
                  <c:v>7.91979591836735</c:v>
                </c:pt>
                <c:pt idx="36">
                  <c:v>8.0234693877551</c:v>
                </c:pt>
                <c:pt idx="37">
                  <c:v>8.12897959183674</c:v>
                </c:pt>
              </c:numCache>
            </c:numRef>
          </c:xVal>
          <c:yVal>
            <c:numRef>
              <c:f>Lab2!$J$39:$J$57,Lab2!$J$96:$J$114</c:f>
              <c:numCache>
                <c:formatCode>0.0000</c:formatCode>
                <c:ptCount val="38"/>
                <c:pt idx="0">
                  <c:v>0.997774131016609</c:v>
                </c:pt>
                <c:pt idx="1">
                  <c:v>0.978588944785277</c:v>
                </c:pt>
                <c:pt idx="2">
                  <c:v>0.957972420224572</c:v>
                </c:pt>
                <c:pt idx="3">
                  <c:v>0.938222577588074</c:v>
                </c:pt>
                <c:pt idx="4">
                  <c:v>0.919418206141622</c:v>
                </c:pt>
                <c:pt idx="5">
                  <c:v>0.90161183206244</c:v>
                </c:pt>
                <c:pt idx="6">
                  <c:v>0.885118612413875</c:v>
                </c:pt>
                <c:pt idx="7">
                  <c:v>0.869754705575643</c:v>
                </c:pt>
                <c:pt idx="8">
                  <c:v>0.855966584054152</c:v>
                </c:pt>
                <c:pt idx="9">
                  <c:v>0.843360301520217</c:v>
                </c:pt>
                <c:pt idx="10">
                  <c:v>0.832539909011924</c:v>
                </c:pt>
                <c:pt idx="11">
                  <c:v>0.823347827997596</c:v>
                </c:pt>
                <c:pt idx="12">
                  <c:v>0.815626479945561</c:v>
                </c:pt>
                <c:pt idx="13">
                  <c:v>0.809507180298881</c:v>
                </c:pt>
                <c:pt idx="14">
                  <c:v>0.804858613614492</c:v>
                </c:pt>
                <c:pt idx="15">
                  <c:v>0.802074726221582</c:v>
                </c:pt>
                <c:pt idx="16">
                  <c:v>0.80049894090484</c:v>
                </c:pt>
                <c:pt idx="17">
                  <c:v>0.800078731487042</c:v>
                </c:pt>
                <c:pt idx="18">
                  <c:v>0.800630256347902</c:v>
                </c:pt>
                <c:pt idx="19">
                  <c:v>0.786579503940287</c:v>
                </c:pt>
                <c:pt idx="20">
                  <c:v>0.788280216381239</c:v>
                </c:pt>
                <c:pt idx="21">
                  <c:v>0.790653582396593</c:v>
                </c:pt>
                <c:pt idx="22">
                  <c:v>0.802119245359595</c:v>
                </c:pt>
                <c:pt idx="23">
                  <c:v>0.810579325083768</c:v>
                </c:pt>
                <c:pt idx="24">
                  <c:v>0.82083941122302</c:v>
                </c:pt>
                <c:pt idx="25">
                  <c:v>0.839706394602254</c:v>
                </c:pt>
                <c:pt idx="26">
                  <c:v>0.863170755245532</c:v>
                </c:pt>
                <c:pt idx="27">
                  <c:v>0.891689831726086</c:v>
                </c:pt>
                <c:pt idx="28">
                  <c:v>0.913808738702629</c:v>
                </c:pt>
                <c:pt idx="29">
                  <c:v>0.925873074339818</c:v>
                </c:pt>
                <c:pt idx="30">
                  <c:v>0.952161155447717</c:v>
                </c:pt>
                <c:pt idx="31">
                  <c:v>0.957799587878804</c:v>
                </c:pt>
                <c:pt idx="32">
                  <c:v>0.963546738823441</c:v>
                </c:pt>
                <c:pt idx="33">
                  <c:v>0.972415423165915</c:v>
                </c:pt>
                <c:pt idx="34">
                  <c:v>0.981573852441681</c:v>
                </c:pt>
                <c:pt idx="35">
                  <c:v>0.99106463666918</c:v>
                </c:pt>
                <c:pt idx="36">
                  <c:v>0.99756042572298</c:v>
                </c:pt>
                <c:pt idx="37">
                  <c:v>1.00419983336377</c:v>
                </c:pt>
              </c:numCache>
            </c:numRef>
          </c:yVal>
          <c:smooth val="0"/>
        </c:ser>
        <c:axId val="6675810"/>
        <c:axId val="93722660"/>
      </c:scatterChart>
      <c:valAx>
        <c:axId val="6675810"/>
        <c:scaling>
          <c:orientation val="minMax"/>
          <c:max val="7"/>
        </c:scaling>
        <c:delete val="1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22660"/>
        <c:crossBetween val="midCat"/>
        <c:majorUnit val="0.5"/>
      </c:valAx>
      <c:valAx>
        <c:axId val="93722660"/>
        <c:scaling>
          <c:orientation val="minMax"/>
          <c:max val="1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5810"/>
        <c:crossBetween val="midCat"/>
        <c:majorUnit val="0.1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8461641555747"/>
          <c:y val="0.292892061406108"/>
          <c:w val="0.120425476341229"/>
          <c:h val="0.38189794861316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1" sz="11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561960</xdr:colOff>
      <xdr:row>16</xdr:row>
      <xdr:rowOff>76680</xdr:rowOff>
    </xdr:from>
    <xdr:to>
      <xdr:col>26</xdr:col>
      <xdr:colOff>498240</xdr:colOff>
      <xdr:row>46</xdr:row>
      <xdr:rowOff>127080</xdr:rowOff>
    </xdr:to>
    <xdr:graphicFrame>
      <xdr:nvGraphicFramePr>
        <xdr:cNvPr id="0" name="Chart 1"/>
        <xdr:cNvGraphicFramePr/>
      </xdr:nvGraphicFramePr>
      <xdr:xfrm>
        <a:off x="9901440" y="3057840"/>
        <a:ext cx="8075880" cy="552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218160</xdr:colOff>
      <xdr:row>19</xdr:row>
      <xdr:rowOff>18360</xdr:rowOff>
    </xdr:from>
    <xdr:to>
      <xdr:col>26</xdr:col>
      <xdr:colOff>317520</xdr:colOff>
      <xdr:row>49</xdr:row>
      <xdr:rowOff>117720</xdr:rowOff>
    </xdr:to>
    <xdr:pic>
      <xdr:nvPicPr>
        <xdr:cNvPr id="1" name="Picture 2" descr=""/>
        <xdr:cNvPicPr/>
      </xdr:nvPicPr>
      <xdr:blipFill>
        <a:blip r:embed="rId2">
          <a:alphaModFix amt="70000"/>
        </a:blip>
        <a:stretch/>
      </xdr:blipFill>
      <xdr:spPr>
        <a:xfrm>
          <a:off x="8931600" y="3542760"/>
          <a:ext cx="8865000" cy="5576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4"/>
  <sheetViews>
    <sheetView showFormulas="false" showGridLines="true" showRowColHeaders="true" showZeros="true" rightToLeft="false" tabSelected="true" showOutlineSymbols="true" defaultGridColor="true" view="normal" topLeftCell="A12" colorId="64" zoomScale="98" zoomScaleNormal="98" zoomScalePageLayoutView="100" workbookViewId="0">
      <selection pane="topLeft" activeCell="N12" activeCellId="0" sqref="N1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2.56"/>
    <col collapsed="false" customWidth="true" hidden="false" outlineLevel="0" max="3" min="2" style="0" width="12.44"/>
    <col collapsed="false" customWidth="true" hidden="false" outlineLevel="0" max="8" min="8" style="0" width="11.56"/>
    <col collapsed="false" customWidth="true" hidden="false" outlineLevel="0" max="9" min="9" style="0" width="12.4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4.25" hidden="false" customHeight="false" outlineLevel="0" collapsed="false">
      <c r="A2" s="2" t="s">
        <v>1</v>
      </c>
      <c r="B2" s="3" t="s">
        <v>2</v>
      </c>
      <c r="E2" s="4"/>
      <c r="G2" s="2" t="s">
        <v>1</v>
      </c>
      <c r="H2" s="3" t="s">
        <v>2</v>
      </c>
      <c r="K2" s="4"/>
      <c r="M2" s="5" t="s">
        <v>3</v>
      </c>
      <c r="N2" s="0" t="n">
        <v>83.145</v>
      </c>
      <c r="O2" s="5" t="s">
        <v>4</v>
      </c>
    </row>
    <row r="3" customFormat="false" ht="14.25" hidden="false" customHeight="false" outlineLevel="0" collapsed="false">
      <c r="A3" s="2" t="s">
        <v>5</v>
      </c>
      <c r="B3" s="0" t="n">
        <v>190.6</v>
      </c>
      <c r="C3" s="5" t="s">
        <v>6</v>
      </c>
      <c r="E3" s="4"/>
      <c r="G3" s="2" t="s">
        <v>5</v>
      </c>
      <c r="H3" s="0" t="n">
        <v>190.6</v>
      </c>
      <c r="I3" s="5" t="s">
        <v>6</v>
      </c>
      <c r="K3" s="4"/>
    </row>
    <row r="4" customFormat="false" ht="14.25" hidden="false" customHeight="false" outlineLevel="0" collapsed="false">
      <c r="A4" s="2" t="s">
        <v>7</v>
      </c>
      <c r="B4" s="0" t="n">
        <v>46.1</v>
      </c>
      <c r="C4" s="5" t="s">
        <v>8</v>
      </c>
      <c r="E4" s="4"/>
      <c r="G4" s="2" t="s">
        <v>7</v>
      </c>
      <c r="H4" s="0" t="n">
        <v>46.1</v>
      </c>
      <c r="I4" s="5" t="s">
        <v>8</v>
      </c>
      <c r="K4" s="4"/>
      <c r="M4" s="6" t="s">
        <v>9</v>
      </c>
    </row>
    <row r="5" customFormat="false" ht="14.25" hidden="false" customHeight="false" outlineLevel="0" collapsed="false">
      <c r="A5" s="2" t="s">
        <v>10</v>
      </c>
      <c r="B5" s="0" t="n">
        <v>1.1</v>
      </c>
      <c r="E5" s="4"/>
      <c r="G5" s="2" t="s">
        <v>10</v>
      </c>
      <c r="H5" s="0" t="n">
        <v>1.5</v>
      </c>
      <c r="K5" s="4"/>
      <c r="M5" s="5" t="s">
        <v>11</v>
      </c>
    </row>
    <row r="6" customFormat="false" ht="14.25" hidden="false" customHeight="false" outlineLevel="0" collapsed="false">
      <c r="A6" s="2" t="s">
        <v>12</v>
      </c>
      <c r="B6" s="5" t="n">
        <f aca="false">B5*B3</f>
        <v>209.66</v>
      </c>
      <c r="C6" s="5" t="s">
        <v>6</v>
      </c>
      <c r="D6" s="5" t="n">
        <f aca="false">B6-273.15</f>
        <v>-63.49</v>
      </c>
      <c r="E6" s="4" t="s">
        <v>13</v>
      </c>
      <c r="G6" s="2" t="s">
        <v>12</v>
      </c>
      <c r="H6" s="5" t="n">
        <f aca="false">H5*H3</f>
        <v>285.9</v>
      </c>
      <c r="I6" s="5" t="s">
        <v>6</v>
      </c>
      <c r="J6" s="5" t="n">
        <f aca="false">H6-273.15</f>
        <v>12.75</v>
      </c>
      <c r="K6" s="4" t="s">
        <v>13</v>
      </c>
      <c r="M6" s="5" t="s">
        <v>14</v>
      </c>
    </row>
    <row r="7" customFormat="false" ht="14.25" hidden="false" customHeight="false" outlineLevel="0" collapsed="false">
      <c r="A7" s="2" t="s">
        <v>15</v>
      </c>
      <c r="B7" s="7" t="n">
        <v>1</v>
      </c>
      <c r="C7" s="5" t="s">
        <v>16</v>
      </c>
      <c r="E7" s="4"/>
      <c r="G7" s="2" t="s">
        <v>15</v>
      </c>
      <c r="H7" s="7" t="n">
        <v>1</v>
      </c>
      <c r="I7" s="5" t="s">
        <v>16</v>
      </c>
      <c r="K7" s="4"/>
      <c r="M7" s="5" t="s">
        <v>17</v>
      </c>
    </row>
    <row r="8" customFormat="false" ht="15" hidden="false" customHeight="true" outlineLevel="0" collapsed="false">
      <c r="A8" s="8"/>
      <c r="B8" s="9"/>
      <c r="C8" s="9"/>
      <c r="D8" s="9"/>
      <c r="E8" s="10"/>
      <c r="G8" s="8"/>
      <c r="H8" s="9"/>
      <c r="I8" s="9"/>
      <c r="J8" s="9"/>
      <c r="K8" s="10"/>
      <c r="M8" s="5" t="s">
        <v>18</v>
      </c>
    </row>
    <row r="9" customFormat="false" ht="16.5" hidden="false" customHeight="true" outlineLevel="0" collapsed="false">
      <c r="A9" s="11" t="s">
        <v>19</v>
      </c>
      <c r="B9" s="12" t="s">
        <v>20</v>
      </c>
      <c r="C9" s="12" t="s">
        <v>21</v>
      </c>
      <c r="D9" s="12" t="s">
        <v>22</v>
      </c>
      <c r="E9" s="13" t="s">
        <v>23</v>
      </c>
      <c r="G9" s="11" t="s">
        <v>19</v>
      </c>
      <c r="H9" s="12" t="s">
        <v>20</v>
      </c>
      <c r="I9" s="12" t="s">
        <v>21</v>
      </c>
      <c r="J9" s="12" t="s">
        <v>22</v>
      </c>
      <c r="K9" s="13" t="s">
        <v>23</v>
      </c>
      <c r="M9" s="5" t="s">
        <v>24</v>
      </c>
    </row>
    <row r="10" customFormat="false" ht="14.25" hidden="false" customHeight="false" outlineLevel="0" collapsed="false">
      <c r="A10" s="14" t="n">
        <v>1</v>
      </c>
      <c r="B10" s="14" t="n">
        <v>17301.2</v>
      </c>
      <c r="C10" s="15" t="n">
        <f aca="false">IF(A10="","",$N$2*$B$6/A10)</f>
        <v>17432.1807</v>
      </c>
      <c r="D10" s="16" t="n">
        <f aca="false">IF(OR(A10="",B10=""),"",B10/C10)</f>
        <v>0.992486269947856</v>
      </c>
      <c r="E10" s="17" t="n">
        <f aca="false">IF(A10="","",A10/$B$4)</f>
        <v>0.0216919739696312</v>
      </c>
      <c r="G10" s="14" t="n">
        <v>1</v>
      </c>
      <c r="H10" s="14" t="n">
        <v>23696</v>
      </c>
      <c r="I10" s="15" t="n">
        <f aca="false">IF(G10="","",$N$2*$H$6/G10)</f>
        <v>23771.1555</v>
      </c>
      <c r="J10" s="16" t="n">
        <f aca="false">IF(OR(G10="",H10=""),"",H10/I10)</f>
        <v>0.996838374137934</v>
      </c>
      <c r="K10" s="17" t="n">
        <f aca="false">IF(G10="","",G10/$H$4)</f>
        <v>0.0216919739696312</v>
      </c>
    </row>
    <row r="11" customFormat="false" ht="14.25" hidden="false" customHeight="false" outlineLevel="0" collapsed="false">
      <c r="A11" s="14" t="n">
        <v>10</v>
      </c>
      <c r="B11" s="14" t="n">
        <v>1622.6</v>
      </c>
      <c r="C11" s="15" t="n">
        <f aca="false">IF(A11="","",$N$2*$B$6/A11)</f>
        <v>1743.21807</v>
      </c>
      <c r="D11" s="16" t="n">
        <f aca="false">IF(OR(A11="",B11=""),"",B11/C11)</f>
        <v>0.930807239739088</v>
      </c>
      <c r="E11" s="17" t="n">
        <f aca="false">IF(A11="","",A11/$B$4)</f>
        <v>0.216919739696312</v>
      </c>
      <c r="G11" s="14" t="n">
        <v>10</v>
      </c>
      <c r="H11" s="14" t="n">
        <v>2310.9</v>
      </c>
      <c r="I11" s="15" t="n">
        <f aca="false">IF(G11="","",$N$2*$H$6/G11)</f>
        <v>2377.11555</v>
      </c>
      <c r="J11" s="16" t="n">
        <f aca="false">IF(OR(G11="",H11=""),"",H11/I11)</f>
        <v>0.972144580855567</v>
      </c>
      <c r="K11" s="17" t="n">
        <f aca="false">IF(G11="","",G11/$H$4)</f>
        <v>0.216919739696312</v>
      </c>
    </row>
    <row r="12" customFormat="false" ht="14.25" hidden="false" customHeight="false" outlineLevel="0" collapsed="false">
      <c r="A12" s="14" t="n">
        <v>20</v>
      </c>
      <c r="B12" s="14" t="n">
        <v>749.2</v>
      </c>
      <c r="C12" s="15" t="n">
        <f aca="false">IF(A12="","",$N$2*$B$6/A12)</f>
        <v>871.609035</v>
      </c>
      <c r="D12" s="16" t="n">
        <f aca="false">IF(OR(A12="",B12=""),"",B12/C12)</f>
        <v>0.859559699263558</v>
      </c>
      <c r="E12" s="17" t="n">
        <f aca="false">IF(A12="","",A12/$B$4)</f>
        <v>0.433839479392625</v>
      </c>
      <c r="G12" s="14" t="n">
        <v>20</v>
      </c>
      <c r="H12" s="14" t="n">
        <v>1124.1</v>
      </c>
      <c r="I12" s="15" t="n">
        <f aca="false">IF(G12="","",$N$2*$H$6/G12)</f>
        <v>1188.557775</v>
      </c>
      <c r="J12" s="16" t="n">
        <f aca="false">IF(OR(G12="",H12=""),"",H12/I12)</f>
        <v>0.94576807593556</v>
      </c>
      <c r="K12" s="17" t="n">
        <f aca="false">IF(G12="","",G12/$H$4)</f>
        <v>0.433839479392625</v>
      </c>
    </row>
    <row r="13" customFormat="false" ht="14.25" hidden="false" customHeight="false" outlineLevel="0" collapsed="false">
      <c r="A13" s="14" t="n">
        <v>30</v>
      </c>
      <c r="B13" s="14" t="n">
        <v>456</v>
      </c>
      <c r="C13" s="15" t="n">
        <f aca="false">IF(A13="","",$N$2*$B$6/A13)</f>
        <v>581.07269</v>
      </c>
      <c r="D13" s="16" t="n">
        <f aca="false">IF(OR(A13="",B13=""),"",B13/C13)</f>
        <v>0.784755518281198</v>
      </c>
      <c r="E13" s="17" t="n">
        <f aca="false">IF(A13="","",A13/$B$4)</f>
        <v>0.650759219088937</v>
      </c>
      <c r="G13" s="14" t="n">
        <v>30</v>
      </c>
      <c r="H13" s="14" t="n">
        <v>729.5</v>
      </c>
      <c r="I13" s="15" t="n">
        <f aca="false">IF(G13="","",$N$2*$H$6/G13)</f>
        <v>792.37185</v>
      </c>
      <c r="J13" s="16" t="n">
        <f aca="false">IF(OR(G13="",H13=""),"",H13/I13)</f>
        <v>0.920653604743783</v>
      </c>
      <c r="K13" s="17" t="n">
        <f aca="false">IF(G13="","",G13/$H$4)</f>
        <v>0.650759219088937</v>
      </c>
    </row>
    <row r="14" customFormat="false" ht="14.25" hidden="false" customHeight="false" outlineLevel="0" collapsed="false">
      <c r="A14" s="14" t="n">
        <v>40</v>
      </c>
      <c r="B14" s="14" t="n">
        <v>307.3</v>
      </c>
      <c r="C14" s="15" t="n">
        <f aca="false">IF(A14="","",$N$2*$B$6/A14)</f>
        <v>435.8045175</v>
      </c>
      <c r="D14" s="16" t="n">
        <f aca="false">IF(OR(A14="",B14=""),"",B14/C14)</f>
        <v>0.705132663063779</v>
      </c>
      <c r="E14" s="17" t="n">
        <f aca="false">IF(A14="","",A14/$B$4)</f>
        <v>0.86767895878525</v>
      </c>
      <c r="G14" s="14" t="n">
        <v>40</v>
      </c>
      <c r="H14" s="14" t="n">
        <v>533</v>
      </c>
      <c r="I14" s="15" t="n">
        <f aca="false">IF(G14="","",$N$2*$H$6/G14)</f>
        <v>594.2788875</v>
      </c>
      <c r="J14" s="16" t="n">
        <f aca="false">IF(OR(G14="",H14=""),"",H14/I14)</f>
        <v>0.896885302862118</v>
      </c>
      <c r="K14" s="17" t="n">
        <f aca="false">IF(G14="","",G14/$H$4)</f>
        <v>0.86767895878525</v>
      </c>
    </row>
    <row r="15" customFormat="false" ht="14.25" hidden="false" customHeight="false" outlineLevel="0" collapsed="false">
      <c r="A15" s="14" t="n">
        <v>50</v>
      </c>
      <c r="B15" s="14" t="n">
        <v>216.1</v>
      </c>
      <c r="C15" s="15" t="n">
        <f aca="false">IF(A15="","",$N$2*$B$6/A15)</f>
        <v>348.643614</v>
      </c>
      <c r="D15" s="16" t="n">
        <f aca="false">IF(OR(A15="",B15=""),"",B15/C15)</f>
        <v>0.619830656069324</v>
      </c>
      <c r="E15" s="17" t="n">
        <f aca="false">IF(A15="","",A15/$B$4)</f>
        <v>1.08459869848156</v>
      </c>
      <c r="G15" s="14" t="n">
        <v>50</v>
      </c>
      <c r="H15" s="14" t="n">
        <v>415.9</v>
      </c>
      <c r="I15" s="15" t="n">
        <f aca="false">IF(G15="","",$N$2*$H$6/G15)</f>
        <v>475.42311</v>
      </c>
      <c r="J15" s="16" t="n">
        <f aca="false">IF(OR(G15="",H15=""),"",H15/I15)</f>
        <v>0.874799712618093</v>
      </c>
      <c r="K15" s="17" t="n">
        <f aca="false">IF(G15="","",G15/$H$4)</f>
        <v>1.08459869848156</v>
      </c>
    </row>
    <row r="16" customFormat="false" ht="14.25" hidden="false" customHeight="false" outlineLevel="0" collapsed="false">
      <c r="A16" s="18" t="n">
        <v>60</v>
      </c>
      <c r="B16" s="18" t="n">
        <v>153.8</v>
      </c>
      <c r="C16" s="19" t="n">
        <f aca="false">IF(A16="","",$N$2*$B$6/A16)</f>
        <v>290.536345</v>
      </c>
      <c r="D16" s="20" t="n">
        <f aca="false">IF(OR(A16="",B16=""),"",B16/C16)</f>
        <v>0.529365783823019</v>
      </c>
      <c r="E16" s="21" t="n">
        <f aca="false">IF(A16="","",A16/$B$4)</f>
        <v>1.30151843817787</v>
      </c>
      <c r="G16" s="18" t="n">
        <v>60</v>
      </c>
      <c r="H16" s="18" t="n">
        <v>338.5</v>
      </c>
      <c r="I16" s="19" t="n">
        <f aca="false">IF(G16="","",$N$2*$H$6/G16)</f>
        <v>396.185925</v>
      </c>
      <c r="J16" s="20" t="n">
        <f aca="false">IF(OR(G16="",H16=""),"",H16/I16)</f>
        <v>0.854396834011708</v>
      </c>
      <c r="K16" s="21" t="n">
        <f aca="false">IF(G16="","",G16/$H$4)</f>
        <v>1.30151843817787</v>
      </c>
    </row>
    <row r="17" customFormat="false" ht="14.25" hidden="false" customHeight="false" outlineLevel="0" collapsed="false">
      <c r="A17" s="18" t="n">
        <v>70</v>
      </c>
      <c r="B17" s="18" t="n">
        <v>112.1</v>
      </c>
      <c r="C17" s="19" t="n">
        <f aca="false">IF(A17="","",$N$2*$B$6/A17)</f>
        <v>249.031152857143</v>
      </c>
      <c r="D17" s="20" t="n">
        <f aca="false">IF(OR(A17="",B17=""),"",B17/C17)</f>
        <v>0.450144484791854</v>
      </c>
      <c r="E17" s="21" t="n">
        <f aca="false">IF(A17="","",A17/$B$4)</f>
        <v>1.51843817787419</v>
      </c>
      <c r="G17" s="18" t="n">
        <v>70</v>
      </c>
      <c r="H17" s="18" t="n">
        <v>283.9</v>
      </c>
      <c r="I17" s="19" t="n">
        <f aca="false">IF(G17="","",$N$2*$H$6/G17)</f>
        <v>339.587935714286</v>
      </c>
      <c r="J17" s="20" t="n">
        <f aca="false">IF(OR(G17="",H17=""),"",H17/I17)</f>
        <v>0.836013209370491</v>
      </c>
      <c r="K17" s="21" t="n">
        <f aca="false">IF(G17="","",G17/$H$4)</f>
        <v>1.51843817787419</v>
      </c>
    </row>
    <row r="18" customFormat="false" ht="14.25" hidden="false" customHeight="false" outlineLevel="0" collapsed="false">
      <c r="A18" s="18" t="n">
        <v>80</v>
      </c>
      <c r="B18" s="18" t="n">
        <v>89.8</v>
      </c>
      <c r="C18" s="19" t="n">
        <f aca="false">IF(A18="","",$N$2*$B$6/A18)</f>
        <v>217.90225875</v>
      </c>
      <c r="D18" s="20" t="n">
        <f aca="false">IF(OR(A18="",B18=""),"",B18/C18)</f>
        <v>0.412111377436559</v>
      </c>
      <c r="E18" s="21" t="n">
        <f aca="false">IF(A18="","",A18/$B$4)</f>
        <v>1.7353579175705</v>
      </c>
      <c r="G18" s="18" t="n">
        <v>80</v>
      </c>
      <c r="H18" s="18" t="n">
        <v>243.6</v>
      </c>
      <c r="I18" s="19" t="n">
        <f aca="false">IF(G18="","",$N$2*$H$6/G18)</f>
        <v>297.13944375</v>
      </c>
      <c r="J18" s="20" t="n">
        <f aca="false">IF(OR(G18="",H18=""),"",H18/I18)</f>
        <v>0.819817109858206</v>
      </c>
      <c r="K18" s="21" t="n">
        <f aca="false">IF(G18="","",G18/$H$4)</f>
        <v>1.7353579175705</v>
      </c>
    </row>
    <row r="19" customFormat="false" ht="14.25" hidden="false" customHeight="false" outlineLevel="0" collapsed="false">
      <c r="A19" s="18" t="n">
        <v>90</v>
      </c>
      <c r="B19" s="18" t="n">
        <v>78.8</v>
      </c>
      <c r="C19" s="19" t="n">
        <f aca="false">IF(A19="","",$N$2*$B$6/A19)</f>
        <v>193.690896666667</v>
      </c>
      <c r="D19" s="20" t="n">
        <f aca="false">IF(OR(A19="",B19=""),"",B19/C19)</f>
        <v>0.406833781845779</v>
      </c>
      <c r="E19" s="21" t="n">
        <f aca="false">IF(A19="","",A19/$B$4)</f>
        <v>1.95227765726681</v>
      </c>
      <c r="G19" s="18" t="n">
        <v>90</v>
      </c>
      <c r="H19" s="18" t="n">
        <v>212.8</v>
      </c>
      <c r="I19" s="19" t="n">
        <f aca="false">IF(G19="","",$N$2*$H$6/G19)</f>
        <v>264.12395</v>
      </c>
      <c r="J19" s="20" t="n">
        <f aca="false">IF(OR(G19="",H19=""),"",H19/I19)</f>
        <v>0.80568233210203</v>
      </c>
      <c r="K19" s="21" t="n">
        <f aca="false">IF(G19="","",G19/$H$4)</f>
        <v>1.95227765726681</v>
      </c>
    </row>
    <row r="20" customFormat="false" ht="14.25" hidden="false" customHeight="false" outlineLevel="0" collapsed="false">
      <c r="A20" s="18" t="n">
        <v>100</v>
      </c>
      <c r="B20" s="18" t="n">
        <v>72.4</v>
      </c>
      <c r="C20" s="19" t="n">
        <f aca="false">IF(A20="","",$N$2*$B$6/A20)</f>
        <v>174.321807</v>
      </c>
      <c r="D20" s="20" t="n">
        <f aca="false">IF(OR(A20="",B20=""),"",B20/C20)</f>
        <v>0.415323826926599</v>
      </c>
      <c r="E20" s="21" t="n">
        <f aca="false">IF(A20="","",A20/$B$4)</f>
        <v>2.16919739696312</v>
      </c>
      <c r="G20" s="18" t="n">
        <v>100</v>
      </c>
      <c r="H20" s="18" t="n">
        <v>188.7</v>
      </c>
      <c r="I20" s="19" t="n">
        <f aca="false">IF(G20="","",$N$2*$H$6/G20)</f>
        <v>237.711555</v>
      </c>
      <c r="J20" s="20" t="n">
        <f aca="false">IF(OR(G20="",H20=""),"",H20/I20)</f>
        <v>0.793819215056668</v>
      </c>
      <c r="K20" s="21" t="n">
        <f aca="false">IF(G20="","",G20/$H$4)</f>
        <v>2.16919739696312</v>
      </c>
    </row>
    <row r="21" customFormat="false" ht="14.25" hidden="false" customHeight="false" outlineLevel="0" collapsed="false">
      <c r="A21" s="18" t="n">
        <v>110</v>
      </c>
      <c r="B21" s="18" t="n">
        <v>68.2</v>
      </c>
      <c r="C21" s="19" t="n">
        <f aca="false">IF(A21="","",$N$2*$B$6/A21)</f>
        <v>158.47437</v>
      </c>
      <c r="D21" s="20" t="n">
        <f aca="false">IF(OR(A21="",B21=""),"",B21/C21)</f>
        <v>0.430353501326429</v>
      </c>
      <c r="E21" s="21" t="n">
        <f aca="false">IF(A21="","",A21/$B$4)</f>
        <v>2.38611713665944</v>
      </c>
      <c r="G21" s="18" t="n">
        <v>110</v>
      </c>
      <c r="H21" s="18" t="n">
        <v>169.5</v>
      </c>
      <c r="I21" s="19" t="n">
        <f aca="false">IF(G21="","",$N$2*$H$6/G21)</f>
        <v>216.101413636364</v>
      </c>
      <c r="J21" s="20" t="n">
        <f aca="false">IF(OR(G21="",H21=""),"",H21/I21)</f>
        <v>0.784353962094943</v>
      </c>
      <c r="K21" s="21" t="n">
        <f aca="false">IF(G21="","",G21/$H$4)</f>
        <v>2.38611713665944</v>
      </c>
    </row>
    <row r="22" customFormat="false" ht="14.25" hidden="false" customHeight="false" outlineLevel="0" collapsed="false">
      <c r="A22" s="18" t="n">
        <v>120</v>
      </c>
      <c r="B22" s="18" t="n">
        <v>65.2</v>
      </c>
      <c r="C22" s="19" t="n">
        <f aca="false">IF(A22="","",$N$2*$B$6/A22)</f>
        <v>145.2681725</v>
      </c>
      <c r="D22" s="20" t="n">
        <f aca="false">IF(OR(A22="",B22=""),"",B22/C22)</f>
        <v>0.448825085894159</v>
      </c>
      <c r="E22" s="21" t="n">
        <f aca="false">IF(A22="","",A22/$B$4)</f>
        <v>2.60303687635575</v>
      </c>
      <c r="G22" s="18" t="n">
        <v>120</v>
      </c>
      <c r="H22" s="18" t="n">
        <v>154</v>
      </c>
      <c r="I22" s="19" t="n">
        <f aca="false">IF(G22="","",$N$2*$H$6/G22)</f>
        <v>198.0929625</v>
      </c>
      <c r="J22" s="20" t="n">
        <f aca="false">IF(OR(G22="",H22=""),"",H22/I22)</f>
        <v>0.777412776589678</v>
      </c>
      <c r="K22" s="21" t="n">
        <f aca="false">IF(G22="","",G22/$H$4)</f>
        <v>2.60303687635575</v>
      </c>
    </row>
    <row r="23" customFormat="false" ht="14.25" hidden="false" customHeight="false" outlineLevel="0" collapsed="false">
      <c r="A23" s="18" t="n">
        <v>130</v>
      </c>
      <c r="B23" s="18" t="n">
        <v>62.8</v>
      </c>
      <c r="C23" s="19" t="n">
        <f aca="false">IF(A23="","",$N$2*$B$6/A23)</f>
        <v>134.093697692308</v>
      </c>
      <c r="D23" s="20" t="n">
        <f aca="false">IF(OR(A23="",B23=""),"",B23/C23)</f>
        <v>0.468329243512259</v>
      </c>
      <c r="E23" s="21" t="n">
        <f aca="false">IF(A23="","",A23/$B$4)</f>
        <v>2.81995661605206</v>
      </c>
      <c r="G23" s="18" t="n">
        <v>130</v>
      </c>
      <c r="H23" s="18" t="n">
        <v>141.3</v>
      </c>
      <c r="I23" s="19" t="n">
        <f aca="false">IF(G23="","",$N$2*$H$6/G23)</f>
        <v>182.855042307692</v>
      </c>
      <c r="J23" s="20" t="n">
        <f aca="false">IF(OR(G23="",H23=""),"",H23/I23)</f>
        <v>0.772743251795227</v>
      </c>
      <c r="K23" s="21" t="n">
        <f aca="false">IF(G23="","",G23/$H$4)</f>
        <v>2.81995661605206</v>
      </c>
    </row>
    <row r="24" customFormat="false" ht="14.25" hidden="false" customHeight="false" outlineLevel="0" collapsed="false">
      <c r="A24" s="18" t="n">
        <v>140</v>
      </c>
      <c r="B24" s="18" t="n">
        <v>60.9</v>
      </c>
      <c r="C24" s="19" t="n">
        <f aca="false">IF(A24="","",$N$2*$B$6/A24)</f>
        <v>124.515576428571</v>
      </c>
      <c r="D24" s="20" t="n">
        <f aca="false">IF(OR(A24="",B24=""),"",B24/C24)</f>
        <v>0.489095434858589</v>
      </c>
      <c r="E24" s="21" t="n">
        <f aca="false">IF(A24="","",A24/$B$4)</f>
        <v>3.03687635574837</v>
      </c>
      <c r="G24" s="18" t="n">
        <v>140</v>
      </c>
      <c r="H24" s="18" t="n">
        <v>130.7</v>
      </c>
      <c r="I24" s="19" t="n">
        <f aca="false">IF(G24="","",$N$2*$H$6/G24)</f>
        <v>169.793967857143</v>
      </c>
      <c r="J24" s="20" t="n">
        <f aca="false">IF(OR(G24="",H24=""),"",H24/I24)</f>
        <v>0.769756438638416</v>
      </c>
      <c r="K24" s="21" t="n">
        <f aca="false">IF(G24="","",G24/$H$4)</f>
        <v>3.03687635574837</v>
      </c>
    </row>
    <row r="25" customFormat="false" ht="14.25" hidden="false" customHeight="false" outlineLevel="0" collapsed="false">
      <c r="A25" s="18" t="n">
        <v>150</v>
      </c>
      <c r="B25" s="18" t="n">
        <v>59.4</v>
      </c>
      <c r="C25" s="19" t="n">
        <f aca="false">IF(A25="","",$N$2*$B$6/A25)</f>
        <v>116.214538</v>
      </c>
      <c r="D25" s="20" t="n">
        <f aca="false">IF(OR(A25="",B25=""),"",B25/C25)</f>
        <v>0.511123659933149</v>
      </c>
      <c r="E25" s="21" t="n">
        <f aca="false">IF(A25="","",A25/$B$4)</f>
        <v>3.25379609544469</v>
      </c>
      <c r="G25" s="18" t="n">
        <v>150</v>
      </c>
      <c r="H25" s="18" t="n">
        <v>121.9</v>
      </c>
      <c r="I25" s="19" t="n">
        <f aca="false">IF(G25="","",$N$2*$H$6/G25)</f>
        <v>158.47437</v>
      </c>
      <c r="J25" s="20" t="n">
        <f aca="false">IF(OR(G25="",H25=""),"",H25/I25)</f>
        <v>0.769209557356183</v>
      </c>
      <c r="K25" s="21" t="n">
        <f aca="false">IF(G25="","",G25/$H$4)</f>
        <v>3.25379609544469</v>
      </c>
    </row>
    <row r="26" customFormat="false" ht="14.25" hidden="false" customHeight="false" outlineLevel="0" collapsed="false">
      <c r="A26" s="18" t="n">
        <v>160</v>
      </c>
      <c r="B26" s="18" t="n">
        <v>58.1</v>
      </c>
      <c r="C26" s="19" t="n">
        <f aca="false">IF(A26="","",$N$2*$B$6/A26)</f>
        <v>108.951129375</v>
      </c>
      <c r="D26" s="20" t="n">
        <f aca="false">IF(OR(A26="",B26=""),"",B26/C26)</f>
        <v>0.533266615346639</v>
      </c>
      <c r="E26" s="21" t="n">
        <f aca="false">IF(A26="","",A26/$B$4)</f>
        <v>3.470715835141</v>
      </c>
      <c r="G26" s="18" t="n">
        <v>160</v>
      </c>
      <c r="H26" s="18" t="n">
        <v>114.4</v>
      </c>
      <c r="I26" s="19" t="n">
        <f aca="false">IF(G26="","",$N$2*$H$6/G26)</f>
        <v>148.569721875</v>
      </c>
      <c r="J26" s="20" t="n">
        <f aca="false">IF(OR(G26="",H26=""),"",H26/I26)</f>
        <v>0.770008845384062</v>
      </c>
      <c r="K26" s="21" t="n">
        <f aca="false">IF(G26="","",G26/$H$4)</f>
        <v>3.470715835141</v>
      </c>
    </row>
    <row r="27" customFormat="false" ht="14.25" hidden="false" customHeight="false" outlineLevel="0" collapsed="false">
      <c r="A27" s="18" t="n">
        <v>170</v>
      </c>
      <c r="B27" s="18" t="n">
        <v>56.9</v>
      </c>
      <c r="C27" s="19" t="n">
        <f aca="false">IF(A27="","",$N$2*$B$6/A27)</f>
        <v>102.542239411765</v>
      </c>
      <c r="D27" s="20" t="n">
        <f aca="false">IF(OR(A27="",B27=""),"",B27/C27)</f>
        <v>0.554893284234944</v>
      </c>
      <c r="E27" s="21" t="n">
        <f aca="false">IF(A27="","",A27/$B$4)</f>
        <v>3.68763557483731</v>
      </c>
      <c r="G27" s="18" t="n">
        <v>170</v>
      </c>
      <c r="H27" s="18" t="n">
        <v>108.1</v>
      </c>
      <c r="I27" s="19" t="n">
        <f aca="false">IF(G27="","",$N$2*$H$6/G27)</f>
        <v>139.830326470588</v>
      </c>
      <c r="J27" s="20" t="n">
        <f aca="false">IF(OR(G27="",H27=""),"",H27/I27)</f>
        <v>0.773079794122755</v>
      </c>
      <c r="K27" s="21" t="n">
        <f aca="false">IF(G27="","",G27/$H$4)</f>
        <v>3.68763557483731</v>
      </c>
    </row>
    <row r="28" customFormat="false" ht="14.25" hidden="false" customHeight="false" outlineLevel="0" collapsed="false">
      <c r="A28" s="22" t="n">
        <v>175</v>
      </c>
      <c r="B28" s="22" t="n">
        <v>56.4</v>
      </c>
      <c r="C28" s="23" t="n">
        <f aca="false">IF(A28="","",$N$2*$B$6/A28)</f>
        <v>99.6124611428571</v>
      </c>
      <c r="D28" s="24" t="n">
        <f aca="false">IF(OR(A28="",B28=""),"",B28/C28)</f>
        <v>0.566194222619549</v>
      </c>
      <c r="E28" s="25" t="n">
        <f aca="false">IF(A28="","",A28/$B$4)</f>
        <v>3.79609544468547</v>
      </c>
      <c r="G28" s="22" t="n">
        <v>175</v>
      </c>
      <c r="H28" s="22" t="n">
        <v>105.2</v>
      </c>
      <c r="I28" s="23" t="n">
        <f aca="false">IF(G28="","",$N$2*$H$6/G28)</f>
        <v>135.835174285714</v>
      </c>
      <c r="J28" s="24" t="n">
        <f aca="false">IF(OR(G28="",H28=""),"",H28/I28)</f>
        <v>0.774468031223808</v>
      </c>
      <c r="K28" s="25" t="n">
        <f aca="false">IF(G28="","",G28/$H$4)</f>
        <v>3.79609544468547</v>
      </c>
    </row>
    <row r="30" customFormat="false" ht="15" hidden="false" customHeight="true" outlineLevel="0" collapsed="false">
      <c r="A30" s="26" t="s">
        <v>25</v>
      </c>
    </row>
    <row r="31" customFormat="false" ht="14.25" hidden="false" customHeight="false" outlineLevel="0" collapsed="false">
      <c r="A31" s="27" t="s">
        <v>1</v>
      </c>
      <c r="B31" s="28" t="s">
        <v>26</v>
      </c>
      <c r="C31" s="29"/>
      <c r="D31" s="29"/>
      <c r="E31" s="30"/>
      <c r="G31" s="27" t="s">
        <v>1</v>
      </c>
      <c r="H31" s="28" t="s">
        <v>26</v>
      </c>
      <c r="I31" s="29"/>
      <c r="J31" s="29"/>
      <c r="K31" s="30"/>
    </row>
    <row r="32" customFormat="false" ht="14.25" hidden="false" customHeight="false" outlineLevel="0" collapsed="false">
      <c r="A32" s="2" t="s">
        <v>5</v>
      </c>
      <c r="B32" s="0" t="n">
        <v>305.3</v>
      </c>
      <c r="C32" s="5" t="s">
        <v>6</v>
      </c>
      <c r="E32" s="4"/>
      <c r="G32" s="2" t="s">
        <v>5</v>
      </c>
      <c r="H32" s="0" t="n">
        <v>305.3</v>
      </c>
      <c r="I32" s="5" t="s">
        <v>6</v>
      </c>
      <c r="K32" s="4"/>
    </row>
    <row r="33" customFormat="false" ht="14.25" hidden="false" customHeight="false" outlineLevel="0" collapsed="false">
      <c r="A33" s="2" t="s">
        <v>7</v>
      </c>
      <c r="B33" s="0" t="n">
        <v>49</v>
      </c>
      <c r="C33" s="5" t="s">
        <v>8</v>
      </c>
      <c r="E33" s="4"/>
      <c r="G33" s="2" t="s">
        <v>7</v>
      </c>
      <c r="H33" s="0" t="n">
        <v>49</v>
      </c>
      <c r="I33" s="5" t="s">
        <v>8</v>
      </c>
      <c r="K33" s="4"/>
    </row>
    <row r="34" customFormat="false" ht="14.25" hidden="false" customHeight="false" outlineLevel="0" collapsed="false">
      <c r="A34" s="2" t="s">
        <v>10</v>
      </c>
      <c r="B34" s="0" t="n">
        <v>1.1</v>
      </c>
      <c r="E34" s="4"/>
      <c r="G34" s="2" t="s">
        <v>10</v>
      </c>
      <c r="H34" s="0" t="n">
        <v>1.5</v>
      </c>
      <c r="K34" s="4"/>
    </row>
    <row r="35" customFormat="false" ht="14.25" hidden="false" customHeight="false" outlineLevel="0" collapsed="false">
      <c r="A35" s="2" t="s">
        <v>12</v>
      </c>
      <c r="B35" s="5" t="n">
        <f aca="false">B34*B32</f>
        <v>335.83</v>
      </c>
      <c r="C35" s="5" t="s">
        <v>6</v>
      </c>
      <c r="D35" s="5" t="n">
        <f aca="false">B35-273.15</f>
        <v>62.6800000000001</v>
      </c>
      <c r="E35" s="4" t="s">
        <v>13</v>
      </c>
      <c r="G35" s="2" t="s">
        <v>12</v>
      </c>
      <c r="H35" s="5" t="n">
        <f aca="false">H34*H32</f>
        <v>457.95</v>
      </c>
      <c r="I35" s="5" t="s">
        <v>6</v>
      </c>
      <c r="J35" s="5" t="n">
        <f aca="false">H35-273.15</f>
        <v>184.8</v>
      </c>
      <c r="K35" s="4" t="s">
        <v>13</v>
      </c>
    </row>
    <row r="36" customFormat="false" ht="14.25" hidden="false" customHeight="false" outlineLevel="0" collapsed="false">
      <c r="A36" s="2" t="s">
        <v>15</v>
      </c>
      <c r="B36" s="7" t="n">
        <v>1</v>
      </c>
      <c r="C36" s="5" t="s">
        <v>16</v>
      </c>
      <c r="E36" s="4"/>
      <c r="G36" s="2" t="s">
        <v>15</v>
      </c>
      <c r="H36" s="7" t="n">
        <v>1</v>
      </c>
      <c r="I36" s="5" t="s">
        <v>16</v>
      </c>
      <c r="K36" s="4"/>
    </row>
    <row r="37" customFormat="false" ht="15" hidden="false" customHeight="true" outlineLevel="0" collapsed="false">
      <c r="A37" s="8"/>
      <c r="B37" s="9"/>
      <c r="C37" s="9"/>
      <c r="D37" s="9"/>
      <c r="E37" s="10"/>
      <c r="G37" s="8"/>
      <c r="H37" s="9"/>
      <c r="I37" s="9"/>
      <c r="J37" s="9"/>
      <c r="K37" s="10"/>
    </row>
    <row r="38" customFormat="false" ht="16.5" hidden="false" customHeight="true" outlineLevel="0" collapsed="false">
      <c r="A38" s="11" t="s">
        <v>19</v>
      </c>
      <c r="B38" s="12" t="s">
        <v>20</v>
      </c>
      <c r="C38" s="12" t="s">
        <v>21</v>
      </c>
      <c r="D38" s="12" t="s">
        <v>22</v>
      </c>
      <c r="E38" s="13" t="s">
        <v>23</v>
      </c>
      <c r="G38" s="11" t="s">
        <v>19</v>
      </c>
      <c r="H38" s="12" t="s">
        <v>20</v>
      </c>
      <c r="I38" s="12" t="s">
        <v>21</v>
      </c>
      <c r="J38" s="12" t="s">
        <v>22</v>
      </c>
      <c r="K38" s="13" t="s">
        <v>23</v>
      </c>
    </row>
    <row r="39" customFormat="false" ht="14.25" hidden="false" customHeight="false" outlineLevel="0" collapsed="false">
      <c r="A39" s="14" t="n">
        <v>1</v>
      </c>
      <c r="B39" s="14" t="n">
        <v>27756.5</v>
      </c>
      <c r="C39" s="15" t="n">
        <f aca="false">IF(A39="","",$N$2*$B$35/A39)</f>
        <v>27922.58535</v>
      </c>
      <c r="D39" s="16" t="n">
        <f aca="false">IF(OR(A39="",B39=""),"",B39/C39)</f>
        <v>0.994051935094183</v>
      </c>
      <c r="E39" s="17" t="n">
        <f aca="false">IF(A39="","",A39/$B$33)</f>
        <v>0.0204081632653061</v>
      </c>
      <c r="G39" s="14" t="n">
        <v>1</v>
      </c>
      <c r="H39" s="14" t="n">
        <v>37991.5</v>
      </c>
      <c r="I39" s="15" t="n">
        <f aca="false">IF(G39="","",$N$2*$H$35/G39)</f>
        <v>38076.25275</v>
      </c>
      <c r="J39" s="16" t="n">
        <f aca="false">IF(OR(G39="",H39=""),"",H39/I39)</f>
        <v>0.997774131016609</v>
      </c>
      <c r="K39" s="17" t="n">
        <f aca="false">IF(G39="","",G39/$H$33)</f>
        <v>0.0204081632653061</v>
      </c>
    </row>
    <row r="40" customFormat="false" ht="14.25" hidden="false" customHeight="false" outlineLevel="0" collapsed="false">
      <c r="A40" s="14" t="n">
        <v>10</v>
      </c>
      <c r="B40" s="14" t="n">
        <v>2624.6</v>
      </c>
      <c r="C40" s="15" t="n">
        <f aca="false">IF(A40="","",$N$2*$B$35/A40)</f>
        <v>2792.258535</v>
      </c>
      <c r="D40" s="16" t="n">
        <f aca="false">IF(OR(A40="",B40=""),"",B40/C40)</f>
        <v>0.93995594143649</v>
      </c>
      <c r="E40" s="17" t="n">
        <f aca="false">IF(A40="","",A40/$B$33)</f>
        <v>0.204081632653061</v>
      </c>
      <c r="G40" s="14" t="n">
        <v>10</v>
      </c>
      <c r="H40" s="14" t="n">
        <v>3726.1</v>
      </c>
      <c r="I40" s="15" t="n">
        <f aca="false">IF(G40="","",$N$2*$H$35/G40)</f>
        <v>3807.625275</v>
      </c>
      <c r="J40" s="16" t="n">
        <f aca="false">IF(OR(G40="",H40=""),"",H40/I40)</f>
        <v>0.978588944785277</v>
      </c>
      <c r="K40" s="17" t="n">
        <f aca="false">IF(G40="","",G40/$H$33)</f>
        <v>0.204081632653061</v>
      </c>
    </row>
    <row r="41" customFormat="false" ht="14.25" hidden="false" customHeight="false" outlineLevel="0" collapsed="false">
      <c r="A41" s="14" t="n">
        <v>20</v>
      </c>
      <c r="B41" s="14" t="n">
        <v>1224.7</v>
      </c>
      <c r="C41" s="15" t="n">
        <f aca="false">IF(A41="","",$N$2*$B$35/A41)</f>
        <v>1396.1292675</v>
      </c>
      <c r="D41" s="16" t="n">
        <f aca="false">IF(OR(A41="",B41=""),"",B41/C41)</f>
        <v>0.877211035188044</v>
      </c>
      <c r="E41" s="17" t="n">
        <f aca="false">IF(A41="","",A41/$B$33)</f>
        <v>0.408163265306122</v>
      </c>
      <c r="G41" s="14" t="n">
        <v>20</v>
      </c>
      <c r="H41" s="14" t="n">
        <v>1823.8</v>
      </c>
      <c r="I41" s="15" t="n">
        <f aca="false">IF(G41="","",$N$2*$H$35/G41)</f>
        <v>1903.8126375</v>
      </c>
      <c r="J41" s="16" t="n">
        <f aca="false">IF(OR(G41="",H41=""),"",H41/I41)</f>
        <v>0.957972420224572</v>
      </c>
      <c r="K41" s="17" t="n">
        <f aca="false">IF(G41="","",G41/$H$33)</f>
        <v>0.408163265306122</v>
      </c>
    </row>
    <row r="42" customFormat="false" ht="14.25" hidden="false" customHeight="false" outlineLevel="0" collapsed="false">
      <c r="A42" s="14" t="n">
        <v>30</v>
      </c>
      <c r="B42" s="14" t="n">
        <v>754.9</v>
      </c>
      <c r="C42" s="15" t="n">
        <f aca="false">IF(A42="","",$N$2*$B$35/A42)</f>
        <v>930.752845</v>
      </c>
      <c r="D42" s="16" t="n">
        <f aca="false">IF(OR(A42="",B42=""),"",B42/C42)</f>
        <v>0.811063865187541</v>
      </c>
      <c r="E42" s="17" t="n">
        <f aca="false">IF(A42="","",A42/$B$33)</f>
        <v>0.612244897959184</v>
      </c>
      <c r="G42" s="14" t="n">
        <v>30</v>
      </c>
      <c r="H42" s="14" t="n">
        <v>1190.8</v>
      </c>
      <c r="I42" s="15" t="n">
        <f aca="false">IF(G42="","",$N$2*$H$35/G42)</f>
        <v>1269.208425</v>
      </c>
      <c r="J42" s="16" t="n">
        <f aca="false">IF(OR(G42="",H42=""),"",H42/I42)</f>
        <v>0.938222577588074</v>
      </c>
      <c r="K42" s="17" t="n">
        <f aca="false">IF(G42="","",G42/$H$33)</f>
        <v>0.612244897959184</v>
      </c>
    </row>
    <row r="43" customFormat="false" ht="14.25" hidden="false" customHeight="false" outlineLevel="0" collapsed="false">
      <c r="A43" s="14" t="n">
        <v>40</v>
      </c>
      <c r="B43" s="14" t="n">
        <v>517</v>
      </c>
      <c r="C43" s="15" t="n">
        <f aca="false">IF(A43="","",$N$2*$B$35/A43)</f>
        <v>698.06463375</v>
      </c>
      <c r="D43" s="16" t="n">
        <f aca="false">IF(OR(A43="",B43=""),"",B43/C43)</f>
        <v>0.740619098868651</v>
      </c>
      <c r="E43" s="17" t="n">
        <f aca="false">IF(A43="","",A43/$B$33)</f>
        <v>0.816326530612245</v>
      </c>
      <c r="G43" s="14" t="n">
        <v>40</v>
      </c>
      <c r="H43" s="14" t="n">
        <v>875.2</v>
      </c>
      <c r="I43" s="15" t="n">
        <f aca="false">IF(G43="","",$N$2*$H$35/G43)</f>
        <v>951.90631875</v>
      </c>
      <c r="J43" s="16" t="n">
        <f aca="false">IF(OR(G43="",H43=""),"",H43/I43)</f>
        <v>0.919418206141622</v>
      </c>
      <c r="K43" s="17" t="n">
        <f aca="false">IF(G43="","",G43/$H$33)</f>
        <v>0.816326530612245</v>
      </c>
    </row>
    <row r="44" customFormat="false" ht="14.25" hidden="false" customHeight="false" outlineLevel="0" collapsed="false">
      <c r="A44" s="14" t="n">
        <v>50</v>
      </c>
      <c r="B44" s="14" t="n">
        <v>371.3</v>
      </c>
      <c r="C44" s="15" t="n">
        <f aca="false">IF(A44="","",$N$2*$B$35/A44)</f>
        <v>558.451707</v>
      </c>
      <c r="D44" s="16" t="n">
        <f aca="false">IF(OR(A44="",B44=""),"",B44/C44)</f>
        <v>0.664873963757085</v>
      </c>
      <c r="E44" s="17" t="n">
        <f aca="false">IF(A44="","",A44/$B$33)</f>
        <v>1.02040816326531</v>
      </c>
      <c r="G44" s="14" t="n">
        <v>50</v>
      </c>
      <c r="H44" s="14" t="n">
        <v>686.6</v>
      </c>
      <c r="I44" s="15" t="n">
        <f aca="false">IF(G44="","",$N$2*$H$35/G44)</f>
        <v>761.525055</v>
      </c>
      <c r="J44" s="16" t="n">
        <f aca="false">IF(OR(G44="",H44=""),"",H44/I44)</f>
        <v>0.90161183206244</v>
      </c>
      <c r="K44" s="17" t="n">
        <f aca="false">IF(G44="","",G44/$H$33)</f>
        <v>1.02040816326531</v>
      </c>
    </row>
    <row r="45" customFormat="false" ht="14.25" hidden="false" customHeight="false" outlineLevel="0" collapsed="false">
      <c r="A45" s="18" t="n">
        <v>60</v>
      </c>
      <c r="B45" s="18" t="n">
        <v>271.7</v>
      </c>
      <c r="C45" s="19" t="n">
        <f aca="false">IF(A45="","",$N$2*$B$35/A45)</f>
        <v>465.3764225</v>
      </c>
      <c r="D45" s="20" t="n">
        <f aca="false">IF(OR(A45="",B45=""),"",B45/C45)</f>
        <v>0.583828459852841</v>
      </c>
      <c r="E45" s="21" t="n">
        <f aca="false">IF(A45="","",A45/$B$33)</f>
        <v>1.22448979591837</v>
      </c>
      <c r="G45" s="18" t="n">
        <v>60</v>
      </c>
      <c r="H45" s="18" t="n">
        <v>561.7</v>
      </c>
      <c r="I45" s="19" t="n">
        <f aca="false">IF(G45="","",$N$2*$H$35/G45)</f>
        <v>634.6042125</v>
      </c>
      <c r="J45" s="20" t="n">
        <f aca="false">IF(OR(G45="",H45=""),"",H45/I45)</f>
        <v>0.885118612413875</v>
      </c>
      <c r="K45" s="21" t="n">
        <f aca="false">IF(G45="","",G45/$H$33)</f>
        <v>1.22448979591837</v>
      </c>
    </row>
    <row r="46" customFormat="false" ht="14.25" hidden="false" customHeight="false" outlineLevel="0" collapsed="false">
      <c r="A46" s="18" t="n">
        <v>70</v>
      </c>
      <c r="B46" s="18" t="n">
        <v>200.5</v>
      </c>
      <c r="C46" s="19" t="n">
        <f aca="false">IF(A46="","",$N$2*$B$35/A46)</f>
        <v>398.894076428571</v>
      </c>
      <c r="D46" s="20" t="n">
        <f aca="false">IF(OR(A46="",B46=""),"",B46/C46)</f>
        <v>0.502639702737984</v>
      </c>
      <c r="E46" s="21" t="n">
        <f aca="false">IF(A46="","",A46/$B$33)</f>
        <v>1.42857142857143</v>
      </c>
      <c r="G46" s="18" t="n">
        <v>70</v>
      </c>
      <c r="H46" s="18" t="n">
        <v>473.1</v>
      </c>
      <c r="I46" s="19" t="n">
        <f aca="false">IF(G46="","",$N$2*$H$35/G46)</f>
        <v>543.946467857143</v>
      </c>
      <c r="J46" s="20" t="n">
        <f aca="false">IF(OR(G46="",H46=""),"",H46/I46)</f>
        <v>0.869754705575643</v>
      </c>
      <c r="K46" s="21" t="n">
        <f aca="false">IF(G46="","",G46/$H$33)</f>
        <v>1.42857142857143</v>
      </c>
    </row>
    <row r="47" customFormat="false" ht="14.25" hidden="false" customHeight="false" outlineLevel="0" collapsed="false">
      <c r="A47" s="18" t="n">
        <v>80</v>
      </c>
      <c r="B47" s="18" t="n">
        <v>154.5</v>
      </c>
      <c r="C47" s="19" t="n">
        <f aca="false">IF(A47="","",$N$2*$B$35/A47)</f>
        <v>349.032316875</v>
      </c>
      <c r="D47" s="20" t="n">
        <f aca="false">IF(OR(A47="",B47=""),"",B47/C47)</f>
        <v>0.442652420793836</v>
      </c>
      <c r="E47" s="21" t="n">
        <f aca="false">IF(A47="","",A47/$B$33)</f>
        <v>1.63265306122449</v>
      </c>
      <c r="G47" s="18" t="n">
        <v>80</v>
      </c>
      <c r="H47" s="18" t="n">
        <v>407.4</v>
      </c>
      <c r="I47" s="19" t="n">
        <f aca="false">IF(G47="","",$N$2*$H$35/G47)</f>
        <v>475.953159375</v>
      </c>
      <c r="J47" s="20" t="n">
        <f aca="false">IF(OR(G47="",H47=""),"",H47/I47)</f>
        <v>0.855966584054152</v>
      </c>
      <c r="K47" s="21" t="n">
        <f aca="false">IF(G47="","",G47/$H$33)</f>
        <v>1.63265306122449</v>
      </c>
    </row>
    <row r="48" customFormat="false" ht="14.25" hidden="false" customHeight="false" outlineLevel="0" collapsed="false">
      <c r="A48" s="18" t="n">
        <v>90</v>
      </c>
      <c r="B48" s="18" t="n">
        <v>129.3</v>
      </c>
      <c r="C48" s="19" t="n">
        <f aca="false">IF(A48="","",$N$2*$B$35/A48)</f>
        <v>310.250948333333</v>
      </c>
      <c r="D48" s="20" t="n">
        <f aca="false">IF(OR(A48="",B48=""),"",B48/C48)</f>
        <v>0.416759402975556</v>
      </c>
      <c r="E48" s="21" t="n">
        <f aca="false">IF(A48="","",A48/$B$33)</f>
        <v>1.83673469387755</v>
      </c>
      <c r="G48" s="18" t="n">
        <v>90</v>
      </c>
      <c r="H48" s="18" t="n">
        <v>356.8</v>
      </c>
      <c r="I48" s="19" t="n">
        <f aca="false">IF(G48="","",$N$2*$H$35/G48)</f>
        <v>423.069475</v>
      </c>
      <c r="J48" s="20" t="n">
        <f aca="false">IF(OR(G48="",H48=""),"",H48/I48)</f>
        <v>0.843360301520217</v>
      </c>
      <c r="K48" s="21" t="n">
        <f aca="false">IF(G48="","",G48/$H$33)</f>
        <v>1.83673469387755</v>
      </c>
    </row>
    <row r="49" customFormat="false" ht="14.25" hidden="false" customHeight="false" outlineLevel="0" collapsed="false">
      <c r="A49" s="18" t="n">
        <v>100</v>
      </c>
      <c r="B49" s="18" t="n">
        <v>115.3</v>
      </c>
      <c r="C49" s="19" t="n">
        <f aca="false">IF(A49="","",$N$2*$B$35/A49)</f>
        <v>279.2258535</v>
      </c>
      <c r="D49" s="20" t="n">
        <f aca="false">IF(OR(A49="",B49=""),"",B49/C49)</f>
        <v>0.412927379591661</v>
      </c>
      <c r="E49" s="21" t="n">
        <f aca="false">IF(A49="","",A49/$B$33)</f>
        <v>2.04081632653061</v>
      </c>
      <c r="G49" s="18" t="n">
        <v>100</v>
      </c>
      <c r="H49" s="18" t="n">
        <v>317</v>
      </c>
      <c r="I49" s="19" t="n">
        <f aca="false">IF(G49="","",$N$2*$H$35/G49)</f>
        <v>380.7625275</v>
      </c>
      <c r="J49" s="20" t="n">
        <f aca="false">IF(OR(G49="",H49=""),"",H49/I49)</f>
        <v>0.832539909011924</v>
      </c>
      <c r="K49" s="21" t="n">
        <f aca="false">IF(G49="","",G49/$H$33)</f>
        <v>2.04081632653061</v>
      </c>
    </row>
    <row r="50" customFormat="false" ht="14.25" hidden="false" customHeight="false" outlineLevel="0" collapsed="false">
      <c r="A50" s="18" t="n">
        <v>110</v>
      </c>
      <c r="B50" s="18" t="n">
        <v>106.4</v>
      </c>
      <c r="C50" s="19" t="n">
        <f aca="false">IF(A50="","",$N$2*$B$35/A50)</f>
        <v>253.841685</v>
      </c>
      <c r="D50" s="20" t="n">
        <f aca="false">IF(OR(A50="",B50=""),"",B50/C50)</f>
        <v>0.419158894253322</v>
      </c>
      <c r="E50" s="21" t="n">
        <f aca="false">IF(A50="","",A50/$B$33)</f>
        <v>2.24489795918367</v>
      </c>
      <c r="G50" s="18" t="n">
        <v>110</v>
      </c>
      <c r="H50" s="18" t="n">
        <v>285</v>
      </c>
      <c r="I50" s="19" t="n">
        <f aca="false">IF(G50="","",$N$2*$H$35/G50)</f>
        <v>346.147752272727</v>
      </c>
      <c r="J50" s="20" t="n">
        <f aca="false">IF(OR(G50="",H50=""),"",H50/I50)</f>
        <v>0.823347827997596</v>
      </c>
      <c r="K50" s="21" t="n">
        <f aca="false">IF(G50="","",G50/$H$33)</f>
        <v>2.24489795918367</v>
      </c>
    </row>
    <row r="51" customFormat="false" ht="14.25" hidden="false" customHeight="false" outlineLevel="0" collapsed="false">
      <c r="A51" s="18" t="n">
        <v>120</v>
      </c>
      <c r="B51" s="18" t="n">
        <v>100.2</v>
      </c>
      <c r="C51" s="19" t="n">
        <f aca="false">IF(A51="","",$N$2*$B$35/A51)</f>
        <v>232.68821125</v>
      </c>
      <c r="D51" s="20" t="n">
        <f aca="false">IF(OR(A51="",B51=""),"",B51/C51)</f>
        <v>0.430619151102353</v>
      </c>
      <c r="E51" s="21" t="n">
        <f aca="false">IF(A51="","",A51/$B$33)</f>
        <v>2.44897959183673</v>
      </c>
      <c r="G51" s="18" t="n">
        <v>120</v>
      </c>
      <c r="H51" s="18" t="n">
        <v>258.8</v>
      </c>
      <c r="I51" s="19" t="n">
        <f aca="false">IF(G51="","",$N$2*$H$35/G51)</f>
        <v>317.30210625</v>
      </c>
      <c r="J51" s="20" t="n">
        <f aca="false">IF(OR(G51="",H51=""),"",H51/I51)</f>
        <v>0.815626479945561</v>
      </c>
      <c r="K51" s="21" t="n">
        <f aca="false">IF(G51="","",G51/$H$33)</f>
        <v>2.44897959183673</v>
      </c>
    </row>
    <row r="52" customFormat="false" ht="14.25" hidden="false" customHeight="false" outlineLevel="0" collapsed="false">
      <c r="A52" s="18" t="n">
        <v>130</v>
      </c>
      <c r="B52" s="18" t="n">
        <v>95.6</v>
      </c>
      <c r="C52" s="19" t="n">
        <f aca="false">IF(A52="","",$N$2*$B$35/A52)</f>
        <v>214.789118076923</v>
      </c>
      <c r="D52" s="20" t="n">
        <f aca="false">IF(OR(A52="",B52=""),"",B52/C52)</f>
        <v>0.445087725374255</v>
      </c>
      <c r="E52" s="21" t="n">
        <f aca="false">IF(A52="","",A52/$B$33)</f>
        <v>2.6530612244898</v>
      </c>
      <c r="G52" s="18" t="n">
        <v>130</v>
      </c>
      <c r="H52" s="18" t="n">
        <v>237.1</v>
      </c>
      <c r="I52" s="19" t="n">
        <f aca="false">IF(G52="","",$N$2*$H$35/G52)</f>
        <v>292.894251923077</v>
      </c>
      <c r="J52" s="20" t="n">
        <f aca="false">IF(OR(G52="",H52=""),"",H52/I52)</f>
        <v>0.809507180298881</v>
      </c>
      <c r="K52" s="21" t="n">
        <f aca="false">IF(G52="","",G52/$H$33)</f>
        <v>2.6530612244898</v>
      </c>
    </row>
    <row r="53" customFormat="false" ht="14.25" hidden="false" customHeight="false" outlineLevel="0" collapsed="false">
      <c r="A53" s="18" t="n">
        <v>140</v>
      </c>
      <c r="B53" s="18" t="n">
        <v>91.9</v>
      </c>
      <c r="C53" s="19" t="n">
        <f aca="false">IF(A53="","",$N$2*$B$35/A53)</f>
        <v>199.447038214286</v>
      </c>
      <c r="D53" s="20" t="n">
        <f aca="false">IF(OR(A53="",B53=""),"",B53/C53)</f>
        <v>0.460773951936367</v>
      </c>
      <c r="E53" s="21" t="n">
        <f aca="false">IF(A53="","",A53/$B$33)</f>
        <v>2.85714285714286</v>
      </c>
      <c r="G53" s="18" t="n">
        <v>140</v>
      </c>
      <c r="H53" s="18" t="n">
        <v>218.9</v>
      </c>
      <c r="I53" s="19" t="n">
        <f aca="false">IF(G53="","",$N$2*$H$35/G53)</f>
        <v>271.973233928571</v>
      </c>
      <c r="J53" s="20" t="n">
        <f aca="false">IF(OR(G53="",H53=""),"",H53/I53)</f>
        <v>0.804858613614492</v>
      </c>
      <c r="K53" s="21" t="n">
        <f aca="false">IF(G53="","",G53/$H$33)</f>
        <v>2.85714285714286</v>
      </c>
    </row>
    <row r="54" customFormat="false" ht="14.25" hidden="false" customHeight="false" outlineLevel="0" collapsed="false">
      <c r="A54" s="18" t="n">
        <v>150</v>
      </c>
      <c r="B54" s="18" t="n">
        <v>88.9</v>
      </c>
      <c r="C54" s="19" t="n">
        <f aca="false">IF(A54="","",$N$2*$B$35/A54)</f>
        <v>186.150569</v>
      </c>
      <c r="D54" s="20" t="n">
        <f aca="false">IF(OR(A54="",B54=""),"",B54/C54)</f>
        <v>0.477570390880728</v>
      </c>
      <c r="E54" s="21" t="n">
        <f aca="false">IF(A54="","",A54/$B$33)</f>
        <v>3.06122448979592</v>
      </c>
      <c r="G54" s="18" t="n">
        <v>150</v>
      </c>
      <c r="H54" s="18" t="n">
        <v>203.6</v>
      </c>
      <c r="I54" s="19" t="n">
        <f aca="false">IF(G54="","",$N$2*$H$35/G54)</f>
        <v>253.841685</v>
      </c>
      <c r="J54" s="20" t="n">
        <f aca="false">IF(OR(G54="",H54=""),"",H54/I54)</f>
        <v>0.802074726221582</v>
      </c>
      <c r="K54" s="21" t="n">
        <f aca="false">IF(G54="","",G54/$H$33)</f>
        <v>3.06122448979592</v>
      </c>
    </row>
    <row r="55" customFormat="false" ht="14.25" hidden="false" customHeight="false" outlineLevel="0" collapsed="false">
      <c r="A55" s="18" t="n">
        <v>160</v>
      </c>
      <c r="B55" s="18" t="n">
        <v>86.4</v>
      </c>
      <c r="C55" s="19" t="n">
        <f aca="false">IF(A55="","",$N$2*$B$35/A55)</f>
        <v>174.5161584375</v>
      </c>
      <c r="D55" s="20" t="n">
        <f aca="false">IF(OR(A55="",B55=""),"",B55/C55)</f>
        <v>0.495083095878154</v>
      </c>
      <c r="E55" s="21" t="n">
        <f aca="false">IF(A55="","",A55/$B$33)</f>
        <v>3.26530612244898</v>
      </c>
      <c r="G55" s="18" t="n">
        <v>160</v>
      </c>
      <c r="H55" s="18" t="n">
        <v>190.5</v>
      </c>
      <c r="I55" s="19" t="n">
        <f aca="false">IF(G55="","",$N$2*$H$35/G55)</f>
        <v>237.9765796875</v>
      </c>
      <c r="J55" s="20" t="n">
        <f aca="false">IF(OR(G55="",H55=""),"",H55/I55)</f>
        <v>0.80049894090484</v>
      </c>
      <c r="K55" s="21" t="n">
        <f aca="false">IF(G55="","",G55/$H$33)</f>
        <v>3.26530612244898</v>
      </c>
    </row>
    <row r="56" customFormat="false" ht="14.25" hidden="false" customHeight="false" outlineLevel="0" collapsed="false">
      <c r="A56" s="18" t="n">
        <v>170</v>
      </c>
      <c r="B56" s="18" t="n">
        <v>84.2</v>
      </c>
      <c r="C56" s="19" t="n">
        <f aca="false">IF(A56="","",$N$2*$B$35/A56)</f>
        <v>164.250502058824</v>
      </c>
      <c r="D56" s="20" t="n">
        <f aca="false">IF(OR(A56="",B56=""),"",B56/C56)</f>
        <v>0.512631614178234</v>
      </c>
      <c r="E56" s="21" t="n">
        <f aca="false">IF(A56="","",A56/$B$33)</f>
        <v>3.46938775510204</v>
      </c>
      <c r="G56" s="18" t="n">
        <v>170</v>
      </c>
      <c r="H56" s="18" t="n">
        <v>179.2</v>
      </c>
      <c r="I56" s="19" t="n">
        <f aca="false">IF(G56="","",$N$2*$H$35/G56)</f>
        <v>223.977957352941</v>
      </c>
      <c r="J56" s="20" t="n">
        <f aca="false">IF(OR(G56="",H56=""),"",H56/I56)</f>
        <v>0.800078731487042</v>
      </c>
      <c r="K56" s="21" t="n">
        <f aca="false">IF(G56="","",G56/$H$33)</f>
        <v>3.46938775510204</v>
      </c>
    </row>
    <row r="57" customFormat="false" ht="14.25" hidden="false" customHeight="false" outlineLevel="0" collapsed="false">
      <c r="A57" s="22" t="n">
        <v>175</v>
      </c>
      <c r="B57" s="22" t="n">
        <v>83.3</v>
      </c>
      <c r="C57" s="23" t="n">
        <f aca="false">IF(A57="","",$N$2*$B$35/A57)</f>
        <v>159.557630571429</v>
      </c>
      <c r="D57" s="24" t="n">
        <f aca="false">IF(OR(A57="",B57=""),"",B57/C57)</f>
        <v>0.522068419427358</v>
      </c>
      <c r="E57" s="25" t="n">
        <f aca="false">IF(A57="","",A57/$B$33)</f>
        <v>3.57142857142857</v>
      </c>
      <c r="G57" s="22" t="n">
        <v>175</v>
      </c>
      <c r="H57" s="22" t="n">
        <v>174.2</v>
      </c>
      <c r="I57" s="23" t="n">
        <f aca="false">IF(G57="","",$N$2*$H$35/G57)</f>
        <v>217.578587142857</v>
      </c>
      <c r="J57" s="24" t="n">
        <f aca="false">IF(OR(G57="",H57=""),"",H57/I57)</f>
        <v>0.800630256347902</v>
      </c>
      <c r="K57" s="25" t="n">
        <f aca="false">IF(G57="","",G57/$H$33)</f>
        <v>3.57142857142857</v>
      </c>
    </row>
    <row r="59" customFormat="false" ht="15" hidden="false" customHeight="true" outlineLevel="0" collapsed="false"/>
    <row r="60" customFormat="false" ht="18" hidden="false" customHeight="true" outlineLevel="0" collapsed="false">
      <c r="A60" s="1" t="s">
        <v>27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customFormat="false" ht="14.25" hidden="false" customHeight="false" outlineLevel="0" collapsed="false">
      <c r="A61" s="2" t="s">
        <v>1</v>
      </c>
      <c r="B61" s="5" t="s">
        <v>2</v>
      </c>
      <c r="E61" s="4"/>
      <c r="G61" s="2" t="s">
        <v>1</v>
      </c>
      <c r="H61" s="5" t="s">
        <v>2</v>
      </c>
      <c r="K61" s="4"/>
    </row>
    <row r="62" customFormat="false" ht="14.25" hidden="false" customHeight="false" outlineLevel="0" collapsed="false">
      <c r="A62" s="2" t="s">
        <v>5</v>
      </c>
      <c r="B62" s="0" t="n">
        <v>190.6</v>
      </c>
      <c r="C62" s="5" t="s">
        <v>6</v>
      </c>
      <c r="E62" s="4"/>
      <c r="G62" s="2" t="s">
        <v>5</v>
      </c>
      <c r="H62" s="0" t="n">
        <v>190.6</v>
      </c>
      <c r="I62" s="5" t="s">
        <v>6</v>
      </c>
      <c r="K62" s="4"/>
    </row>
    <row r="63" customFormat="false" ht="14.25" hidden="false" customHeight="false" outlineLevel="0" collapsed="false">
      <c r="A63" s="2" t="s">
        <v>7</v>
      </c>
      <c r="B63" s="0" t="n">
        <v>46.1</v>
      </c>
      <c r="C63" s="5" t="s">
        <v>8</v>
      </c>
      <c r="E63" s="4"/>
      <c r="G63" s="2" t="s">
        <v>7</v>
      </c>
      <c r="H63" s="0" t="n">
        <v>46.1</v>
      </c>
      <c r="I63" s="5" t="s">
        <v>8</v>
      </c>
      <c r="K63" s="4"/>
    </row>
    <row r="64" customFormat="false" ht="14.25" hidden="false" customHeight="false" outlineLevel="0" collapsed="false">
      <c r="A64" s="2" t="s">
        <v>10</v>
      </c>
      <c r="B64" s="0" t="n">
        <v>1.1</v>
      </c>
      <c r="E64" s="4"/>
      <c r="G64" s="2" t="s">
        <v>10</v>
      </c>
      <c r="H64" s="0" t="n">
        <v>1.5</v>
      </c>
      <c r="K64" s="4"/>
    </row>
    <row r="65" customFormat="false" ht="14.25" hidden="false" customHeight="false" outlineLevel="0" collapsed="false">
      <c r="A65" s="2" t="s">
        <v>12</v>
      </c>
      <c r="B65" s="5" t="n">
        <f aca="false">B64*B62</f>
        <v>209.66</v>
      </c>
      <c r="C65" s="5" t="s">
        <v>6</v>
      </c>
      <c r="D65" s="5" t="n">
        <f aca="false">B65-273.15</f>
        <v>-63.49</v>
      </c>
      <c r="E65" s="4" t="s">
        <v>13</v>
      </c>
      <c r="G65" s="2" t="s">
        <v>12</v>
      </c>
      <c r="H65" s="5" t="n">
        <f aca="false">H64*H62</f>
        <v>285.9</v>
      </c>
      <c r="I65" s="5" t="s">
        <v>6</v>
      </c>
      <c r="J65" s="5" t="n">
        <f aca="false">H65-273.15</f>
        <v>12.75</v>
      </c>
      <c r="K65" s="4" t="s">
        <v>13</v>
      </c>
    </row>
    <row r="66" customFormat="false" ht="15" hidden="false" customHeight="true" outlineLevel="0" collapsed="false">
      <c r="A66" s="8" t="s">
        <v>28</v>
      </c>
      <c r="B66" s="31" t="n">
        <v>30.02</v>
      </c>
      <c r="C66" s="9"/>
      <c r="D66" s="9"/>
      <c r="E66" s="10"/>
      <c r="G66" s="8" t="s">
        <v>28</v>
      </c>
      <c r="H66" s="31" t="n">
        <v>29.99</v>
      </c>
      <c r="I66" s="9"/>
      <c r="J66" s="9"/>
      <c r="K66" s="10"/>
    </row>
    <row r="67" customFormat="false" ht="16.5" hidden="false" customHeight="true" outlineLevel="0" collapsed="false">
      <c r="A67" s="32" t="s">
        <v>19</v>
      </c>
      <c r="B67" s="33" t="s">
        <v>29</v>
      </c>
      <c r="C67" s="12" t="s">
        <v>30</v>
      </c>
      <c r="D67" s="12" t="s">
        <v>22</v>
      </c>
      <c r="E67" s="13" t="s">
        <v>23</v>
      </c>
      <c r="G67" s="11" t="s">
        <v>19</v>
      </c>
      <c r="H67" s="33" t="s">
        <v>29</v>
      </c>
      <c r="I67" s="12" t="s">
        <v>30</v>
      </c>
      <c r="J67" s="12" t="s">
        <v>22</v>
      </c>
      <c r="K67" s="13" t="s">
        <v>23</v>
      </c>
    </row>
    <row r="68" customFormat="false" ht="14.25" hidden="false" customHeight="false" outlineLevel="0" collapsed="false">
      <c r="A68" s="34" t="n">
        <v>175</v>
      </c>
      <c r="B68" s="14" t="n">
        <v>532</v>
      </c>
      <c r="C68" s="35" t="n">
        <f aca="false">$B$66</f>
        <v>30.02</v>
      </c>
      <c r="D68" s="16" t="n">
        <f aca="false">IF(OR(A68="",B68=""),"",A68*C68/((B68/1000)*$N$2*$B$65))</f>
        <v>0.566481048466874</v>
      </c>
      <c r="E68" s="17" t="n">
        <f aca="false">IF(A68="","",A68/$B$63)</f>
        <v>3.79609544468547</v>
      </c>
      <c r="F68" s="36"/>
      <c r="G68" s="14" t="n">
        <v>175</v>
      </c>
      <c r="H68" s="14" t="n">
        <v>285</v>
      </c>
      <c r="I68" s="35" t="n">
        <f aca="false">$H$66</f>
        <v>29.99</v>
      </c>
      <c r="J68" s="16" t="n">
        <f aca="false">IF(OR(G68="",H68=""),"",G68*I68/((H68/1000)*$N$2*$H$65))</f>
        <v>0.774674680021413</v>
      </c>
      <c r="K68" s="17" t="n">
        <f aca="false">IF(G68="","",G68/$H$63)</f>
        <v>3.79609544468547</v>
      </c>
    </row>
    <row r="69" customFormat="false" ht="14.25" hidden="false" customHeight="false" outlineLevel="0" collapsed="false">
      <c r="A69" s="14" t="n">
        <v>183.88</v>
      </c>
      <c r="B69" s="14" t="n">
        <v>540</v>
      </c>
      <c r="C69" s="35" t="n">
        <f aca="false">$B$66</f>
        <v>30.02</v>
      </c>
      <c r="D69" s="16" t="n">
        <f aca="false">IF(OR(A69="",B69=""),"",A69*C69/((B69/1000)*$N$2*$B$65))</f>
        <v>0.586407753673981</v>
      </c>
      <c r="E69" s="17" t="n">
        <f aca="false">IF(A69="","",A69/$B$63)</f>
        <v>3.98872017353579</v>
      </c>
      <c r="F69" s="37"/>
      <c r="G69" s="14" t="n">
        <v>178.42</v>
      </c>
      <c r="H69" s="14" t="n">
        <v>290</v>
      </c>
      <c r="I69" s="35" t="n">
        <f aca="false">$H$66</f>
        <v>29.99</v>
      </c>
      <c r="J69" s="16" t="n">
        <f aca="false">IF(OR(G69="",H69=""),"",G69*I69/((H69/1000)*$N$2*$H$65))</f>
        <v>0.77619655323517</v>
      </c>
      <c r="K69" s="17" t="n">
        <f aca="false">IF(G69="","",G69/$H$63)</f>
        <v>3.87028199566161</v>
      </c>
    </row>
    <row r="70" customFormat="false" ht="14.25" hidden="false" customHeight="false" outlineLevel="0" collapsed="false">
      <c r="A70" s="14" t="n">
        <v>196</v>
      </c>
      <c r="B70" s="14" t="n">
        <v>550</v>
      </c>
      <c r="C70" s="35" t="n">
        <f aca="false">$B$66</f>
        <v>30.02</v>
      </c>
      <c r="D70" s="16" t="n">
        <f aca="false">IF(OR(A70="",B70=""),"",A70*C70/((B70/1000)*$N$2*$B$65))</f>
        <v>0.613694668942731</v>
      </c>
      <c r="E70" s="17" t="n">
        <f aca="false">IF(A70="","",A70/$B$63)</f>
        <v>4.25162689804772</v>
      </c>
      <c r="F70" s="36"/>
      <c r="G70" s="14" t="n">
        <v>185.43</v>
      </c>
      <c r="H70" s="14" t="n">
        <v>300</v>
      </c>
      <c r="I70" s="35" t="n">
        <f aca="false">$H$66</f>
        <v>29.99</v>
      </c>
      <c r="J70" s="16" t="n">
        <f aca="false">IF(OR(G70="",H70=""),"",G70*I70/((H70/1000)*$N$2*$H$65))</f>
        <v>0.779803026403155</v>
      </c>
      <c r="K70" s="17" t="n">
        <f aca="false">IF(G70="","",G70/$H$63)</f>
        <v>4.02234273318872</v>
      </c>
    </row>
    <row r="71" customFormat="false" ht="14.25" hidden="false" customHeight="false" outlineLevel="0" collapsed="false">
      <c r="A71" s="14" t="n">
        <v>209.37</v>
      </c>
      <c r="B71" s="14" t="n">
        <v>560</v>
      </c>
      <c r="C71" s="35" t="n">
        <f aca="false">$B$66</f>
        <v>30.02</v>
      </c>
      <c r="D71" s="16" t="n">
        <f aca="false">IF(OR(A71="",B71=""),"",A71*C71/((B71/1000)*$N$2*$B$65))</f>
        <v>0.643851030066479</v>
      </c>
      <c r="E71" s="17" t="n">
        <f aca="false">IF(A71="","",A71/$B$63)</f>
        <v>4.54164859002169</v>
      </c>
      <c r="F71" s="36"/>
      <c r="G71" s="14" t="n">
        <v>192.67</v>
      </c>
      <c r="H71" s="14" t="n">
        <v>310</v>
      </c>
      <c r="I71" s="35" t="n">
        <f aca="false">$H$66</f>
        <v>29.99</v>
      </c>
      <c r="J71" s="16" t="n">
        <f aca="false">IF(OR(G71="",H71=""),"",G71*I71/((H71/1000)*$N$2*$H$65))</f>
        <v>0.784112859371831</v>
      </c>
      <c r="K71" s="17" t="n">
        <f aca="false">IF(G71="","",G71/$H$63)</f>
        <v>4.17939262472885</v>
      </c>
    </row>
    <row r="72" customFormat="false" ht="14.25" hidden="false" customHeight="false" outlineLevel="0" collapsed="false">
      <c r="A72" s="14" t="n">
        <v>224.12</v>
      </c>
      <c r="B72" s="14" t="n">
        <v>570</v>
      </c>
      <c r="C72" s="35" t="n">
        <f aca="false">$B$66</f>
        <v>30.02</v>
      </c>
      <c r="D72" s="16" t="n">
        <f aca="false">IF(OR(A72="",B72=""),"",A72*C72/((B72/1000)*$N$2*$B$65))</f>
        <v>0.677118573772777</v>
      </c>
      <c r="E72" s="17" t="n">
        <f aca="false">IF(A72="","",A72/$B$63)</f>
        <v>4.86160520607375</v>
      </c>
      <c r="F72" s="36"/>
      <c r="G72" s="14" t="n">
        <v>204.05</v>
      </c>
      <c r="H72" s="14" t="n">
        <v>325</v>
      </c>
      <c r="I72" s="35" t="n">
        <f aca="false">$H$66</f>
        <v>29.99</v>
      </c>
      <c r="J72" s="16" t="n">
        <f aca="false">IF(OR(G72="",H72=""),"",G72*I72/((H72/1000)*$N$2*$H$65))</f>
        <v>0.792098901285895</v>
      </c>
      <c r="K72" s="17" t="n">
        <f aca="false">IF(G72="","",G72/$H$63)</f>
        <v>4.42624728850325</v>
      </c>
    </row>
    <row r="73" customFormat="false" ht="14.25" hidden="false" customHeight="false" outlineLevel="0" collapsed="false">
      <c r="A73" s="14" t="n">
        <v>240.41</v>
      </c>
      <c r="B73" s="14" t="n">
        <v>580</v>
      </c>
      <c r="C73" s="35" t="n">
        <f aca="false">$B$66</f>
        <v>30.02</v>
      </c>
      <c r="D73" s="16" t="n">
        <f aca="false">IF(OR(A73="",B73=""),"",A73*C73/((B73/1000)*$N$2*$B$65))</f>
        <v>0.713811439552138</v>
      </c>
      <c r="E73" s="17" t="n">
        <f aca="false">IF(A73="","",A73/$B$63)</f>
        <v>5.21496746203905</v>
      </c>
      <c r="F73" s="36"/>
      <c r="G73" s="14" t="n">
        <v>216.12</v>
      </c>
      <c r="H73" s="14" t="n">
        <v>340</v>
      </c>
      <c r="I73" s="35" t="n">
        <f aca="false">$H$66</f>
        <v>29.99</v>
      </c>
      <c r="J73" s="16" t="n">
        <f aca="false">IF(OR(G73="",H73=""),"",G73*I73/((H73/1000)*$N$2*$H$65))</f>
        <v>0.801940624809663</v>
      </c>
      <c r="K73" s="17" t="n">
        <f aca="false">IF(G73="","",G73/$H$63)</f>
        <v>4.6880694143167</v>
      </c>
    </row>
    <row r="74" customFormat="false" ht="14.25" hidden="false" customHeight="false" outlineLevel="0" collapsed="false">
      <c r="A74" s="18" t="n">
        <v>249.18</v>
      </c>
      <c r="B74" s="18" t="n">
        <v>585</v>
      </c>
      <c r="C74" s="38" t="n">
        <f aca="false">$B$66</f>
        <v>30.02</v>
      </c>
      <c r="D74" s="20" t="n">
        <f aca="false">IF(OR(A74="",B74=""),"",A74*C74/((B74/1000)*$N$2*$B$65))</f>
        <v>0.7335273040636</v>
      </c>
      <c r="E74" s="21" t="n">
        <f aca="false">IF(A74="","",A74/$B$63)</f>
        <v>5.40520607375271</v>
      </c>
      <c r="F74" s="36"/>
      <c r="G74" s="18" t="n">
        <v>228.96</v>
      </c>
      <c r="H74" s="18" t="n">
        <v>355</v>
      </c>
      <c r="I74" s="38" t="n">
        <f aca="false">$H$66</f>
        <v>29.99</v>
      </c>
      <c r="J74" s="20" t="n">
        <f aca="false">IF(OR(G74="",H74=""),"",G74*I74/((H74/1000)*$N$2*$H$65))</f>
        <v>0.813687109863103</v>
      </c>
      <c r="K74" s="21" t="n">
        <f aca="false">IF(G74="","",G74/$H$63)</f>
        <v>4.96659436008677</v>
      </c>
    </row>
    <row r="75" customFormat="false" ht="14.25" hidden="false" customHeight="false" outlineLevel="0" collapsed="false">
      <c r="A75" s="18" t="n">
        <v>258.4</v>
      </c>
      <c r="B75" s="18" t="n">
        <v>590</v>
      </c>
      <c r="C75" s="38" t="n">
        <f aca="false">$B$66</f>
        <v>30.02</v>
      </c>
      <c r="D75" s="20" t="n">
        <f aca="false">IF(OR(A75="",B75=""),"",A75*C75/((B75/1000)*$N$2*$B$65))</f>
        <v>0.754222469302498</v>
      </c>
      <c r="E75" s="21" t="n">
        <f aca="false">IF(A75="","",A75/$B$63)</f>
        <v>5.60520607375271</v>
      </c>
      <c r="F75" s="36"/>
      <c r="G75" s="18" t="n">
        <v>242.68</v>
      </c>
      <c r="H75" s="18" t="n">
        <v>370</v>
      </c>
      <c r="I75" s="38" t="n">
        <f aca="false">$H$66</f>
        <v>29.99</v>
      </c>
      <c r="J75" s="20" t="n">
        <f aca="false">IF(OR(G75="",H75=""),"",G75*I75/((H75/1000)*$N$2*$H$65))</f>
        <v>0.827481770410271</v>
      </c>
      <c r="K75" s="21" t="n">
        <f aca="false">IF(G75="","",G75/$H$63)</f>
        <v>5.26420824295011</v>
      </c>
    </row>
    <row r="76" customFormat="false" ht="14.25" hidden="false" customHeight="false" outlineLevel="0" collapsed="false">
      <c r="A76" s="18" t="n">
        <v>268.09</v>
      </c>
      <c r="B76" s="18" t="n">
        <v>595</v>
      </c>
      <c r="C76" s="38" t="n">
        <f aca="false">$B$66</f>
        <v>30.02</v>
      </c>
      <c r="D76" s="20" t="n">
        <f aca="false">IF(OR(A76="",B76=""),"",A76*C76/((B76/1000)*$N$2*$B$65))</f>
        <v>0.775930132809734</v>
      </c>
      <c r="E76" s="21" t="n">
        <f aca="false">IF(A76="","",A76/$B$63)</f>
        <v>5.81540130151844</v>
      </c>
      <c r="F76" s="36"/>
      <c r="G76" s="18" t="n">
        <v>257.4</v>
      </c>
      <c r="H76" s="18" t="n">
        <v>385</v>
      </c>
      <c r="I76" s="38" t="n">
        <f aca="false">$H$66</f>
        <v>29.99</v>
      </c>
      <c r="J76" s="20" t="n">
        <f aca="false">IF(OR(G76="",H76=""),"",G76*I76/((H76/1000)*$N$2*$H$65))</f>
        <v>0.843478439357192</v>
      </c>
      <c r="K76" s="21" t="n">
        <f aca="false">IF(G76="","",G76/$H$63)</f>
        <v>5.58351409978308</v>
      </c>
    </row>
    <row r="77" customFormat="false" ht="14.25" hidden="false" customHeight="false" outlineLevel="0" collapsed="false">
      <c r="A77" s="18" t="n">
        <v>278.29</v>
      </c>
      <c r="B77" s="18" t="n">
        <v>600</v>
      </c>
      <c r="C77" s="38" t="n">
        <f aca="false">$B$66</f>
        <v>30.02</v>
      </c>
      <c r="D77" s="20" t="n">
        <f aca="false">IF(OR(A77="",B77=""),"",A77*C77/((B77/1000)*$N$2*$B$65))</f>
        <v>0.798739788954421</v>
      </c>
      <c r="E77" s="21" t="n">
        <f aca="false">IF(A77="","",A77/$B$63)</f>
        <v>6.03665943600868</v>
      </c>
      <c r="F77" s="36"/>
      <c r="G77" s="18" t="n">
        <v>273.25</v>
      </c>
      <c r="H77" s="18" t="n">
        <v>400</v>
      </c>
      <c r="I77" s="38" t="n">
        <f aca="false">$H$66</f>
        <v>29.99</v>
      </c>
      <c r="J77" s="20" t="n">
        <f aca="false">IF(OR(G77="",H77=""),"",G77*I77/((H77/1000)*$N$2*$H$65))</f>
        <v>0.861839415000251</v>
      </c>
      <c r="K77" s="21" t="n">
        <f aca="false">IF(G77="","",G77/$H$63)</f>
        <v>5.92733188720174</v>
      </c>
    </row>
    <row r="78" customFormat="false" ht="14.25" hidden="false" customHeight="false" outlineLevel="0" collapsed="false">
      <c r="A78" s="18" t="n">
        <v>289.01</v>
      </c>
      <c r="B78" s="18" t="n">
        <v>605</v>
      </c>
      <c r="C78" s="38" t="n">
        <f aca="false">$B$66</f>
        <v>30.02</v>
      </c>
      <c r="D78" s="20" t="n">
        <f aca="false">IF(OR(A78="",B78=""),"",A78*C78/((B78/1000)*$N$2*$B$65))</f>
        <v>0.822652580107322</v>
      </c>
      <c r="E78" s="21" t="n">
        <f aca="false">IF(A78="","",A78/$B$63)</f>
        <v>6.26919739696312</v>
      </c>
      <c r="F78" s="36"/>
      <c r="G78" s="18" t="n">
        <v>290.38</v>
      </c>
      <c r="H78" s="18" t="n">
        <v>415</v>
      </c>
      <c r="I78" s="38" t="n">
        <f aca="false">$H$66</f>
        <v>29.99</v>
      </c>
      <c r="J78" s="20" t="n">
        <f aca="false">IF(OR(G78="",H78=""),"",G78*I78/((H78/1000)*$N$2*$H$65))</f>
        <v>0.882764331450824</v>
      </c>
      <c r="K78" s="21" t="n">
        <f aca="false">IF(G78="","",G78/$H$63)</f>
        <v>6.29891540130152</v>
      </c>
    </row>
    <row r="79" customFormat="false" ht="14.25" hidden="false" customHeight="false" outlineLevel="0" collapsed="false">
      <c r="A79" s="18" t="n">
        <v>304.95</v>
      </c>
      <c r="B79" s="18" t="n">
        <v>612</v>
      </c>
      <c r="C79" s="38" t="n">
        <f aca="false">$B$66</f>
        <v>30.02</v>
      </c>
      <c r="D79" s="20" t="n">
        <f aca="false">IF(OR(A79="",B79=""),"",A79*C79/((B79/1000)*$N$2*$B$65))</f>
        <v>0.85809660624039</v>
      </c>
      <c r="E79" s="21" t="n">
        <f aca="false">IF(A79="","",A79/$B$63)</f>
        <v>6.61496746203905</v>
      </c>
      <c r="F79" s="36"/>
      <c r="G79" s="18" t="n">
        <v>308.95</v>
      </c>
      <c r="H79" s="18" t="n">
        <v>430</v>
      </c>
      <c r="I79" s="38" t="n">
        <f aca="false">$H$66</f>
        <v>29.99</v>
      </c>
      <c r="J79" s="20" t="n">
        <f aca="false">IF(OR(G79="",H79=""),"",G79*I79/((H79/1000)*$N$2*$H$65))</f>
        <v>0.906454306736152</v>
      </c>
      <c r="K79" s="21" t="n">
        <f aca="false">IF(G79="","",G79/$H$63)</f>
        <v>6.70173535791757</v>
      </c>
    </row>
    <row r="80" customFormat="false" ht="14.25" hidden="false" customHeight="false" outlineLevel="0" collapsed="false">
      <c r="A80" s="18" t="n">
        <v>324.63</v>
      </c>
      <c r="B80" s="18" t="n">
        <v>620</v>
      </c>
      <c r="C80" s="38" t="n">
        <f aca="false">$B$66</f>
        <v>30.02</v>
      </c>
      <c r="D80" s="20" t="n">
        <f aca="false">IF(OR(A80="",B80=""),"",A80*C80/((B80/1000)*$N$2*$B$65))</f>
        <v>0.901687254841864</v>
      </c>
      <c r="E80" s="21" t="n">
        <f aca="false">IF(A80="","",A80/$B$63)</f>
        <v>7.04186550976139</v>
      </c>
      <c r="F80" s="36"/>
      <c r="G80" s="18" t="n">
        <v>329.15</v>
      </c>
      <c r="H80" s="18" t="n">
        <v>445</v>
      </c>
      <c r="I80" s="38" t="n">
        <f aca="false">$H$66</f>
        <v>29.99</v>
      </c>
      <c r="J80" s="20" t="n">
        <f aca="false">IF(OR(G80="",H80=""),"",G80*I80/((H80/1000)*$N$2*$H$65))</f>
        <v>0.933168394411284</v>
      </c>
      <c r="K80" s="21" t="n">
        <f aca="false">IF(G80="","",G80/$H$63)</f>
        <v>7.13991323210412</v>
      </c>
    </row>
    <row r="81" customFormat="false" ht="14.25" hidden="false" customHeight="false" outlineLevel="0" collapsed="false">
      <c r="A81" s="18" t="n">
        <v>343.22</v>
      </c>
      <c r="B81" s="18" t="n">
        <v>627</v>
      </c>
      <c r="C81" s="38" t="n">
        <f aca="false">$B$66</f>
        <v>30.02</v>
      </c>
      <c r="D81" s="20" t="n">
        <f aca="false">IF(OR(A81="",B81=""),"",A81*C81/((B81/1000)*$N$2*$B$65))</f>
        <v>0.942679396144487</v>
      </c>
      <c r="E81" s="21" t="n">
        <f aca="false">IF(A81="","",A81/$B$63)</f>
        <v>7.44511930585683</v>
      </c>
      <c r="F81" s="36"/>
      <c r="G81" s="18" t="n">
        <v>343.62</v>
      </c>
      <c r="H81" s="18" t="n">
        <v>455</v>
      </c>
      <c r="I81" s="38" t="n">
        <f aca="false">$H$66</f>
        <v>29.99</v>
      </c>
      <c r="J81" s="20" t="n">
        <f aca="false">IF(OR(G81="",H81=""),"",G81*I81/((H81/1000)*$N$2*$H$65))</f>
        <v>0.952781266705846</v>
      </c>
      <c r="K81" s="21" t="n">
        <f aca="false">IF(G81="","",G81/$H$63)</f>
        <v>7.45379609544469</v>
      </c>
    </row>
    <row r="82" customFormat="false" ht="14.25" hidden="false" customHeight="false" outlineLevel="0" collapsed="false">
      <c r="A82" s="18" t="n">
        <v>357.34</v>
      </c>
      <c r="B82" s="18" t="n">
        <v>632</v>
      </c>
      <c r="C82" s="38" t="n">
        <f aca="false">$B$66</f>
        <v>30.02</v>
      </c>
      <c r="D82" s="20" t="n">
        <f aca="false">IF(OR(A82="",B82=""),"",A82*C82/((B82/1000)*$N$2*$B$65))</f>
        <v>0.973696308689595</v>
      </c>
      <c r="E82" s="21" t="n">
        <f aca="false">IF(A82="","",A82/$B$63)</f>
        <v>7.75140997830803</v>
      </c>
      <c r="F82" s="36"/>
      <c r="G82" s="18" t="n">
        <v>358.99</v>
      </c>
      <c r="H82" s="18" t="n">
        <v>465</v>
      </c>
      <c r="I82" s="38" t="n">
        <f aca="false">$H$66</f>
        <v>29.99</v>
      </c>
      <c r="J82" s="20" t="n">
        <f aca="false">IF(OR(G82="",H82=""),"",G82*I82/((H82/1000)*$N$2*$H$65))</f>
        <v>0.973992406310941</v>
      </c>
      <c r="K82" s="21" t="n">
        <f aca="false">IF(G82="","",G82/$H$63)</f>
        <v>7.78720173535792</v>
      </c>
    </row>
    <row r="83" customFormat="false" ht="14.25" hidden="false" customHeight="false" outlineLevel="0" collapsed="false">
      <c r="A83" s="18" t="n">
        <v>369.18</v>
      </c>
      <c r="B83" s="18" t="n">
        <v>636</v>
      </c>
      <c r="C83" s="38" t="n">
        <f aca="false">$B$66</f>
        <v>30.02</v>
      </c>
      <c r="D83" s="20" t="n">
        <f aca="false">IF(OR(A83="",B83=""),"",A83*C83/((B83/1000)*$N$2*$B$65))</f>
        <v>0.99963169710365</v>
      </c>
      <c r="E83" s="21" t="n">
        <f aca="false">IF(A83="","",A83/$B$63)</f>
        <v>8.00824295010846</v>
      </c>
      <c r="F83" s="36"/>
      <c r="G83" s="18" t="n">
        <v>368.67</v>
      </c>
      <c r="H83" s="18" t="n">
        <v>471</v>
      </c>
      <c r="I83" s="38" t="n">
        <f aca="false">$H$66</f>
        <v>29.99</v>
      </c>
      <c r="J83" s="20" t="n">
        <f aca="false">IF(OR(G83="",H83=""),"",G83*I83/((H83/1000)*$N$2*$H$65))</f>
        <v>0.987513552572592</v>
      </c>
      <c r="K83" s="21" t="n">
        <f aca="false">IF(G83="","",G83/$H$63)</f>
        <v>7.99718004338395</v>
      </c>
    </row>
    <row r="84" customFormat="false" ht="14.25" hidden="false" customHeight="false" outlineLevel="0" collapsed="false">
      <c r="A84" s="18" t="n">
        <v>378.39</v>
      </c>
      <c r="B84" s="18" t="n">
        <v>639</v>
      </c>
      <c r="C84" s="38" t="n">
        <f aca="false">$B$66</f>
        <v>30.02</v>
      </c>
      <c r="D84" s="20" t="n">
        <f aca="false">IF(OR(A84="",B84=""),"",A84*C84/((B84/1000)*$N$2*$B$65))</f>
        <v>1.01975950288782</v>
      </c>
      <c r="E84" s="21" t="n">
        <f aca="false">IF(A84="","",A84/$B$63)</f>
        <v>8.20802603036876</v>
      </c>
      <c r="F84" s="36"/>
      <c r="G84" s="18" t="n">
        <v>378.71</v>
      </c>
      <c r="H84" s="18" t="n">
        <v>477</v>
      </c>
      <c r="I84" s="38" t="n">
        <f aca="false">$H$66</f>
        <v>29.99</v>
      </c>
      <c r="J84" s="20" t="n">
        <f aca="false">IF(OR(G84="",H84=""),"",G84*I84/((H84/1000)*$N$2*$H$65))</f>
        <v>1.001646705004</v>
      </c>
      <c r="K84" s="21" t="n">
        <f aca="false">IF(G84="","",G84/$H$63)</f>
        <v>8.21496746203905</v>
      </c>
    </row>
    <row r="85" customFormat="false" ht="14.25" hidden="false" customHeight="false" outlineLevel="0" collapsed="false">
      <c r="A85" s="18" t="n">
        <v>387.89</v>
      </c>
      <c r="B85" s="18" t="n">
        <v>642</v>
      </c>
      <c r="C85" s="38" t="n">
        <f aca="false">$B$66</f>
        <v>30.02</v>
      </c>
      <c r="D85" s="20" t="n">
        <f aca="false">IF(OR(A85="",B85=""),"",A85*C85/((B85/1000)*$N$2*$B$65))</f>
        <v>1.04047709505458</v>
      </c>
      <c r="E85" s="21" t="n">
        <f aca="false">IF(A85="","",A85/$B$63)</f>
        <v>8.41409978308026</v>
      </c>
      <c r="F85" s="36"/>
      <c r="G85" s="18" t="n">
        <v>389.15</v>
      </c>
      <c r="H85" s="18" t="n">
        <v>483</v>
      </c>
      <c r="I85" s="38" t="n">
        <f aca="false">$H$66</f>
        <v>29.99</v>
      </c>
      <c r="J85" s="20" t="n">
        <f aca="false">IF(OR(G85="",H85=""),"",G85*I85/((H85/1000)*$N$2*$H$65))</f>
        <v>1.01647353733386</v>
      </c>
      <c r="K85" s="21" t="n">
        <f aca="false">IF(G85="","",G85/$H$63)</f>
        <v>8.441431670282</v>
      </c>
    </row>
    <row r="86" customFormat="false" ht="14.25" hidden="false" customHeight="false" outlineLevel="0" collapsed="false">
      <c r="A86" s="22" t="n">
        <v>397.7</v>
      </c>
      <c r="B86" s="22" t="n">
        <v>645</v>
      </c>
      <c r="C86" s="39" t="n">
        <f aca="false">$B$66</f>
        <v>30.02</v>
      </c>
      <c r="D86" s="24" t="n">
        <f aca="false">IF(OR(A86="",B86=""),"",A86*C86/((B86/1000)*$N$2*$B$65))</f>
        <v>1.06182964255014</v>
      </c>
      <c r="E86" s="25" t="n">
        <f aca="false">IF(A86="","",A86/$B$63)</f>
        <v>8.62689804772234</v>
      </c>
      <c r="F86" s="36"/>
      <c r="G86" s="22" t="n">
        <v>399.99</v>
      </c>
      <c r="H86" s="22" t="n">
        <v>489</v>
      </c>
      <c r="I86" s="39" t="n">
        <f aca="false">$H$66</f>
        <v>29.99</v>
      </c>
      <c r="J86" s="24" t="n">
        <f aca="false">IF(OR(G86="",H86=""),"",G86*I86/((H86/1000)*$N$2*$H$65))</f>
        <v>1.03196851533278</v>
      </c>
      <c r="K86" s="25" t="n">
        <f aca="false">IF(G86="","",G86/$H$63)</f>
        <v>8.6765726681128</v>
      </c>
    </row>
    <row r="88" customFormat="false" ht="15" hidden="false" customHeight="true" outlineLevel="0" collapsed="false"/>
    <row r="89" customFormat="false" ht="14.25" hidden="false" customHeight="false" outlineLevel="0" collapsed="false">
      <c r="A89" s="27" t="s">
        <v>1</v>
      </c>
      <c r="B89" s="29" t="s">
        <v>26</v>
      </c>
      <c r="C89" s="29"/>
      <c r="D89" s="29"/>
      <c r="E89" s="30"/>
      <c r="G89" s="27" t="s">
        <v>1</v>
      </c>
      <c r="H89" s="29" t="s">
        <v>26</v>
      </c>
      <c r="I89" s="29"/>
      <c r="J89" s="29"/>
      <c r="K89" s="30"/>
    </row>
    <row r="90" customFormat="false" ht="14.25" hidden="false" customHeight="false" outlineLevel="0" collapsed="false">
      <c r="A90" s="2" t="s">
        <v>5</v>
      </c>
      <c r="B90" s="0" t="n">
        <v>305.3</v>
      </c>
      <c r="C90" s="5" t="s">
        <v>6</v>
      </c>
      <c r="E90" s="4"/>
      <c r="G90" s="2" t="s">
        <v>5</v>
      </c>
      <c r="H90" s="0" t="n">
        <v>305.3</v>
      </c>
      <c r="I90" s="5" t="s">
        <v>6</v>
      </c>
      <c r="K90" s="4"/>
    </row>
    <row r="91" customFormat="false" ht="14.25" hidden="false" customHeight="false" outlineLevel="0" collapsed="false">
      <c r="A91" s="2" t="s">
        <v>7</v>
      </c>
      <c r="B91" s="0" t="n">
        <v>49</v>
      </c>
      <c r="C91" s="5" t="s">
        <v>8</v>
      </c>
      <c r="E91" s="4"/>
      <c r="G91" s="2" t="s">
        <v>7</v>
      </c>
      <c r="H91" s="0" t="n">
        <v>49</v>
      </c>
      <c r="I91" s="5" t="s">
        <v>8</v>
      </c>
      <c r="K91" s="4"/>
    </row>
    <row r="92" customFormat="false" ht="14.25" hidden="false" customHeight="false" outlineLevel="0" collapsed="false">
      <c r="A92" s="2" t="s">
        <v>10</v>
      </c>
      <c r="B92" s="0" t="n">
        <v>1.1</v>
      </c>
      <c r="E92" s="4"/>
      <c r="G92" s="2" t="s">
        <v>10</v>
      </c>
      <c r="H92" s="0" t="n">
        <v>1.5</v>
      </c>
      <c r="K92" s="4"/>
    </row>
    <row r="93" customFormat="false" ht="14.25" hidden="false" customHeight="false" outlineLevel="0" collapsed="false">
      <c r="A93" s="2" t="s">
        <v>12</v>
      </c>
      <c r="B93" s="5" t="n">
        <f aca="false">B92*B90</f>
        <v>335.83</v>
      </c>
      <c r="C93" s="5" t="s">
        <v>6</v>
      </c>
      <c r="D93" s="5" t="n">
        <f aca="false">B93-273.15</f>
        <v>62.6800000000001</v>
      </c>
      <c r="E93" s="4" t="s">
        <v>13</v>
      </c>
      <c r="G93" s="2" t="s">
        <v>12</v>
      </c>
      <c r="H93" s="5" t="n">
        <f aca="false">H92*H90</f>
        <v>457.95</v>
      </c>
      <c r="I93" s="5" t="s">
        <v>6</v>
      </c>
      <c r="J93" s="5" t="n">
        <f aca="false">H93-273.15</f>
        <v>184.8</v>
      </c>
      <c r="K93" s="4" t="s">
        <v>13</v>
      </c>
    </row>
    <row r="94" customFormat="false" ht="15" hidden="false" customHeight="true" outlineLevel="0" collapsed="false">
      <c r="A94" s="8" t="s">
        <v>28</v>
      </c>
      <c r="B94" s="31" t="n">
        <v>30</v>
      </c>
      <c r="C94" s="9"/>
      <c r="D94" s="9"/>
      <c r="E94" s="10"/>
      <c r="G94" s="8" t="s">
        <v>28</v>
      </c>
      <c r="H94" s="31" t="n">
        <v>29.95</v>
      </c>
      <c r="I94" s="9"/>
      <c r="J94" s="9"/>
      <c r="K94" s="10"/>
    </row>
    <row r="95" customFormat="false" ht="16.5" hidden="false" customHeight="true" outlineLevel="0" collapsed="false">
      <c r="A95" s="11" t="s">
        <v>19</v>
      </c>
      <c r="B95" s="33" t="s">
        <v>29</v>
      </c>
      <c r="C95" s="12" t="s">
        <v>30</v>
      </c>
      <c r="D95" s="12" t="s">
        <v>22</v>
      </c>
      <c r="E95" s="13" t="s">
        <v>23</v>
      </c>
      <c r="G95" s="11" t="s">
        <v>19</v>
      </c>
      <c r="H95" s="33" t="s">
        <v>29</v>
      </c>
      <c r="I95" s="12" t="s">
        <v>30</v>
      </c>
      <c r="J95" s="12" t="s">
        <v>22</v>
      </c>
      <c r="K95" s="13" t="s">
        <v>23</v>
      </c>
    </row>
    <row r="96" customFormat="false" ht="14.25" hidden="false" customHeight="false" outlineLevel="0" collapsed="false">
      <c r="A96" s="14" t="n">
        <v>175</v>
      </c>
      <c r="B96" s="14" t="n">
        <v>348</v>
      </c>
      <c r="C96" s="35" t="n">
        <f aca="false">$B$94</f>
        <v>30</v>
      </c>
      <c r="D96" s="16" t="n">
        <f aca="false">IF(OR(A96="",B96=""),"",A96*C96/((B96/1000)*$N$2*$B$93))</f>
        <v>0.540286893475347</v>
      </c>
      <c r="E96" s="17" t="n">
        <f aca="false">IF(A96="","",A96/$B$91)</f>
        <v>3.57142857142857</v>
      </c>
      <c r="G96" s="14" t="n">
        <v>175</v>
      </c>
      <c r="H96" s="14" t="n">
        <v>175</v>
      </c>
      <c r="I96" s="35" t="n">
        <f aca="false">$H$94</f>
        <v>29.95</v>
      </c>
      <c r="J96" s="16" t="n">
        <f aca="false">IF(OR(G96="",H96=""),"",G96*I96/((H96/1000)*$N$2*$H$93))</f>
        <v>0.786579503940287</v>
      </c>
      <c r="K96" s="17" t="n">
        <f aca="false">IF(G96="","",G96/$H$91)</f>
        <v>3.57142857142857</v>
      </c>
    </row>
    <row r="97" customFormat="false" ht="14.25" hidden="false" customHeight="false" outlineLevel="0" collapsed="false">
      <c r="A97" s="14" t="n">
        <v>177.98</v>
      </c>
      <c r="B97" s="14" t="n">
        <v>350</v>
      </c>
      <c r="C97" s="35" t="n">
        <f aca="false">$B$94</f>
        <v>30</v>
      </c>
      <c r="D97" s="16" t="n">
        <f aca="false">IF(OR(A97="",B97=""),"",A97*C97/((B97/1000)*$N$2*$B$93))</f>
        <v>0.546347280533196</v>
      </c>
      <c r="E97" s="17" t="n">
        <f aca="false">IF(A97="","",A97/$B$91)</f>
        <v>3.63224489795918</v>
      </c>
      <c r="G97" s="14" t="n">
        <v>185.4</v>
      </c>
      <c r="H97" s="14" t="n">
        <v>185</v>
      </c>
      <c r="I97" s="35" t="n">
        <f aca="false">$H$94</f>
        <v>29.95</v>
      </c>
      <c r="J97" s="16" t="n">
        <f aca="false">IF(OR(G97="",H97=""),"",G97*I97/((H97/1000)*$N$2*$H$93))</f>
        <v>0.788280216381239</v>
      </c>
      <c r="K97" s="17" t="n">
        <f aca="false">IF(G97="","",G97/$H$91)</f>
        <v>3.78367346938776</v>
      </c>
    </row>
    <row r="98" customFormat="false" ht="14.25" hidden="false" customHeight="false" outlineLevel="0" collapsed="false">
      <c r="A98" s="14" t="n">
        <v>185.83</v>
      </c>
      <c r="B98" s="14" t="n">
        <v>355</v>
      </c>
      <c r="C98" s="35" t="n">
        <f aca="false">$B$94</f>
        <v>30</v>
      </c>
      <c r="D98" s="16" t="n">
        <f aca="false">IF(OR(A98="",B98=""),"",A98*C98/((B98/1000)*$N$2*$B$93))</f>
        <v>0.56241008721536</v>
      </c>
      <c r="E98" s="17" t="n">
        <f aca="false">IF(A98="","",A98/$B$91)</f>
        <v>3.79244897959184</v>
      </c>
      <c r="G98" s="14" t="n">
        <v>196.01</v>
      </c>
      <c r="H98" s="14" t="n">
        <v>195</v>
      </c>
      <c r="I98" s="35" t="n">
        <f aca="false">$H$94</f>
        <v>29.95</v>
      </c>
      <c r="J98" s="16" t="n">
        <f aca="false">IF(OR(G98="",H98=""),"",G98*I98/((H98/1000)*$N$2*$H$93))</f>
        <v>0.790653582396593</v>
      </c>
      <c r="K98" s="17" t="n">
        <f aca="false">IF(G98="","",G98/$H$91)</f>
        <v>4.00020408163265</v>
      </c>
    </row>
    <row r="99" customFormat="false" ht="14.25" hidden="false" customHeight="false" outlineLevel="0" collapsed="false">
      <c r="A99" s="14" t="n">
        <v>194.24</v>
      </c>
      <c r="B99" s="14" t="n">
        <v>360</v>
      </c>
      <c r="C99" s="35" t="n">
        <f aca="false">$B$94</f>
        <v>30</v>
      </c>
      <c r="D99" s="16" t="n">
        <f aca="false">IF(OR(A99="",B99=""),"",A99*C99/((B99/1000)*$N$2*$B$93))</f>
        <v>0.579697992280169</v>
      </c>
      <c r="E99" s="17" t="n">
        <f aca="false">IF(A99="","",A99/$B$91)</f>
        <v>3.96408163265306</v>
      </c>
      <c r="G99" s="14" t="n">
        <v>209.05</v>
      </c>
      <c r="H99" s="14" t="n">
        <v>205</v>
      </c>
      <c r="I99" s="35" t="n">
        <f aca="false">$H$94</f>
        <v>29.95</v>
      </c>
      <c r="J99" s="16" t="n">
        <f aca="false">IF(OR(G99="",H99=""),"",G99*I99/((H99/1000)*$N$2*$H$93))</f>
        <v>0.802119245359595</v>
      </c>
      <c r="K99" s="17" t="n">
        <f aca="false">IF(G99="","",G99/$H$91)</f>
        <v>4.26632653061225</v>
      </c>
    </row>
    <row r="100" customFormat="false" ht="14.25" hidden="false" customHeight="false" outlineLevel="0" collapsed="false">
      <c r="A100" s="14" t="n">
        <v>203.28</v>
      </c>
      <c r="B100" s="14" t="n">
        <v>365</v>
      </c>
      <c r="C100" s="35" t="n">
        <f aca="false">$B$94</f>
        <v>30</v>
      </c>
      <c r="D100" s="16" t="n">
        <f aca="false">IF(OR(A100="",B100=""),"",A100*C100/((B100/1000)*$N$2*$B$93))</f>
        <v>0.598366698357301</v>
      </c>
      <c r="E100" s="17" t="n">
        <f aca="false">IF(A100="","",A100/$B$91)</f>
        <v>4.14857142857143</v>
      </c>
      <c r="G100" s="14" t="n">
        <v>221.56</v>
      </c>
      <c r="H100" s="14" t="n">
        <v>215</v>
      </c>
      <c r="I100" s="35" t="n">
        <f aca="false">$H$94</f>
        <v>29.95</v>
      </c>
      <c r="J100" s="16" t="n">
        <f aca="false">IF(OR(G100="",H100=""),"",G100*I100/((H100/1000)*$N$2*$H$93))</f>
        <v>0.810579325083768</v>
      </c>
      <c r="K100" s="17" t="n">
        <f aca="false">IF(G100="","",G100/$H$91)</f>
        <v>4.52163265306123</v>
      </c>
    </row>
    <row r="101" customFormat="false" ht="14.25" hidden="false" customHeight="false" outlineLevel="0" collapsed="false">
      <c r="A101" s="14" t="n">
        <v>212.99</v>
      </c>
      <c r="B101" s="14" t="n">
        <v>370</v>
      </c>
      <c r="C101" s="35" t="n">
        <f aca="false">$B$94</f>
        <v>30</v>
      </c>
      <c r="D101" s="16" t="n">
        <f aca="false">IF(OR(A101="",B101=""),"",A101*C101/((B101/1000)*$N$2*$B$93))</f>
        <v>0.618476378279186</v>
      </c>
      <c r="E101" s="17" t="n">
        <f aca="false">IF(A101="","",A101/$B$91)</f>
        <v>4.34673469387755</v>
      </c>
      <c r="G101" s="14" t="n">
        <v>234.8</v>
      </c>
      <c r="H101" s="14" t="n">
        <v>225</v>
      </c>
      <c r="I101" s="35" t="n">
        <f aca="false">$H$94</f>
        <v>29.95</v>
      </c>
      <c r="J101" s="16" t="n">
        <f aca="false">IF(OR(G101="",H101=""),"",G101*I101/((H101/1000)*$N$2*$H$93))</f>
        <v>0.82083941122302</v>
      </c>
      <c r="K101" s="17" t="n">
        <f aca="false">IF(G101="","",G101/$H$91)</f>
        <v>4.79183673469388</v>
      </c>
    </row>
    <row r="102" customFormat="false" ht="14.25" hidden="false" customHeight="false" outlineLevel="0" collapsed="false">
      <c r="A102" s="18" t="n">
        <v>223.41</v>
      </c>
      <c r="B102" s="18" t="n">
        <v>375</v>
      </c>
      <c r="C102" s="38" t="n">
        <f aca="false">$B$94</f>
        <v>30</v>
      </c>
      <c r="D102" s="20" t="n">
        <f aca="false">IF(OR(A102="",B102=""),"",A102*C102/((B102/1000)*$N$2*$B$93))</f>
        <v>0.640083995660524</v>
      </c>
      <c r="E102" s="21" t="n">
        <f aca="false">IF(A102="","",A102/$B$91)</f>
        <v>4.55938775510204</v>
      </c>
      <c r="G102" s="18" t="n">
        <v>256.21</v>
      </c>
      <c r="H102" s="18" t="n">
        <v>240</v>
      </c>
      <c r="I102" s="38" t="n">
        <f aca="false">$H$94</f>
        <v>29.95</v>
      </c>
      <c r="J102" s="20" t="n">
        <f aca="false">IF(OR(G102="",H102=""),"",G102*I102/((H102/1000)*$N$2*$H$93))</f>
        <v>0.839706394602254</v>
      </c>
      <c r="K102" s="21" t="n">
        <f aca="false">IF(G102="","",G102/$H$91)</f>
        <v>5.22877551020408</v>
      </c>
    </row>
    <row r="103" customFormat="false" ht="14.25" hidden="false" customHeight="false" outlineLevel="0" collapsed="false">
      <c r="A103" s="18" t="n">
        <v>234.62</v>
      </c>
      <c r="B103" s="18" t="n">
        <v>380</v>
      </c>
      <c r="C103" s="38" t="n">
        <f aca="false">$B$94</f>
        <v>30</v>
      </c>
      <c r="D103" s="20" t="n">
        <f aca="false">IF(OR(A103="",B103=""),"",A103*C103/((B103/1000)*$N$2*$B$93))</f>
        <v>0.663356610670987</v>
      </c>
      <c r="E103" s="21" t="n">
        <f aca="false">IF(A103="","",A103/$B$91)</f>
        <v>4.78816326530612</v>
      </c>
      <c r="G103" s="18" t="n">
        <v>279.83</v>
      </c>
      <c r="H103" s="18" t="n">
        <v>255</v>
      </c>
      <c r="I103" s="38" t="n">
        <f aca="false">$H$94</f>
        <v>29.95</v>
      </c>
      <c r="J103" s="20" t="n">
        <f aca="false">IF(OR(G103="",H103=""),"",G103*I103/((H103/1000)*$N$2*$H$93))</f>
        <v>0.863170755245532</v>
      </c>
      <c r="K103" s="21" t="n">
        <f aca="false">IF(G103="","",G103/$H$91)</f>
        <v>5.71081632653061</v>
      </c>
    </row>
    <row r="104" customFormat="false" ht="14.25" hidden="false" customHeight="false" outlineLevel="0" collapsed="false">
      <c r="A104" s="18" t="n">
        <v>246.66</v>
      </c>
      <c r="B104" s="18" t="n">
        <v>385</v>
      </c>
      <c r="C104" s="38" t="n">
        <f aca="false">$B$94</f>
        <v>30</v>
      </c>
      <c r="D104" s="20" t="n">
        <f aca="false">IF(OR(A104="",B104=""),"",A104*C104/((B104/1000)*$N$2*$B$93))</f>
        <v>0.688340979151479</v>
      </c>
      <c r="E104" s="21" t="n">
        <f aca="false">IF(A104="","",A104/$B$91)</f>
        <v>5.03387755102041</v>
      </c>
      <c r="G104" s="18" t="n">
        <v>306.08</v>
      </c>
      <c r="H104" s="18" t="n">
        <v>270</v>
      </c>
      <c r="I104" s="38" t="n">
        <f aca="false">$H$94</f>
        <v>29.95</v>
      </c>
      <c r="J104" s="20" t="n">
        <f aca="false">IF(OR(G104="",H104=""),"",G104*I104/((H104/1000)*$N$2*$H$93))</f>
        <v>0.891689831726086</v>
      </c>
      <c r="K104" s="21" t="n">
        <f aca="false">IF(G104="","",G104/$H$91)</f>
        <v>6.2465306122449</v>
      </c>
    </row>
    <row r="105" customFormat="false" ht="14.25" hidden="false" customHeight="false" outlineLevel="0" collapsed="false">
      <c r="A105" s="18" t="n">
        <v>259.6</v>
      </c>
      <c r="B105" s="18" t="n">
        <v>390</v>
      </c>
      <c r="C105" s="38" t="n">
        <f aca="false">$B$94</f>
        <v>30</v>
      </c>
      <c r="D105" s="20" t="n">
        <f aca="false">IF(OR(A105="",B105=""),"",A105*C105/((B105/1000)*$N$2*$B$93))</f>
        <v>0.715164105290514</v>
      </c>
      <c r="E105" s="21" t="n">
        <f aca="false">IF(A105="","",A105/$B$91)</f>
        <v>5.29795918367347</v>
      </c>
      <c r="G105" s="18" t="n">
        <v>325.29</v>
      </c>
      <c r="H105" s="18" t="n">
        <v>280</v>
      </c>
      <c r="I105" s="38" t="n">
        <f aca="false">$H$94</f>
        <v>29.95</v>
      </c>
      <c r="J105" s="20" t="n">
        <f aca="false">IF(OR(G105="",H105=""),"",G105*I105/((H105/1000)*$N$2*$H$93))</f>
        <v>0.913808738702629</v>
      </c>
      <c r="K105" s="21" t="n">
        <f aca="false">IF(G105="","",G105/$H$91)</f>
        <v>6.63857142857143</v>
      </c>
    </row>
    <row r="106" customFormat="false" ht="14.25" hidden="false" customHeight="false" outlineLevel="0" collapsed="false">
      <c r="A106" s="18" t="n">
        <v>273.53</v>
      </c>
      <c r="B106" s="18" t="n">
        <v>395</v>
      </c>
      <c r="C106" s="38" t="n">
        <f aca="false">$B$94</f>
        <v>30</v>
      </c>
      <c r="D106" s="20" t="n">
        <f aca="false">IF(OR(A106="",B106=""),"",A106*C106/((B106/1000)*$N$2*$B$93))</f>
        <v>0.744000962638183</v>
      </c>
      <c r="E106" s="21" t="n">
        <f aca="false">IF(A106="","",A106/$B$91)</f>
        <v>5.58224489795918</v>
      </c>
      <c r="G106" s="18" t="n">
        <v>335.47</v>
      </c>
      <c r="H106" s="18" t="n">
        <v>285</v>
      </c>
      <c r="I106" s="38" t="n">
        <f aca="false">$H$94</f>
        <v>29.95</v>
      </c>
      <c r="J106" s="20" t="n">
        <f aca="false">IF(OR(G106="",H106=""),"",G106*I106/((H106/1000)*$N$2*$H$93))</f>
        <v>0.925873074339818</v>
      </c>
      <c r="K106" s="21" t="n">
        <f aca="false">IF(G106="","",G106/$H$91)</f>
        <v>6.84632653061225</v>
      </c>
    </row>
    <row r="107" customFormat="false" ht="14.25" hidden="false" customHeight="false" outlineLevel="0" collapsed="false">
      <c r="A107" s="18" t="n">
        <v>288.51</v>
      </c>
      <c r="B107" s="18" t="n">
        <v>400</v>
      </c>
      <c r="C107" s="38" t="n">
        <f aca="false">$B$94</f>
        <v>30</v>
      </c>
      <c r="D107" s="20" t="n">
        <f aca="false">IF(OR(A107="",B107=""),"",A107*C107/((B107/1000)*$N$2*$B$93))</f>
        <v>0.774937196136102</v>
      </c>
      <c r="E107" s="21" t="n">
        <f aca="false">IF(A107="","",A107/$B$91)</f>
        <v>5.88795918367347</v>
      </c>
      <c r="G107" s="18" t="n">
        <v>357.1</v>
      </c>
      <c r="H107" s="18" t="n">
        <v>295</v>
      </c>
      <c r="I107" s="38" t="n">
        <f aca="false">$H$94</f>
        <v>29.95</v>
      </c>
      <c r="J107" s="20" t="n">
        <f aca="false">IF(OR(G107="",H107=""),"",G107*I107/((H107/1000)*$N$2*$H$93))</f>
        <v>0.952161155447717</v>
      </c>
      <c r="K107" s="21" t="n">
        <f aca="false">IF(G107="","",G107/$H$91)</f>
        <v>7.28775510204082</v>
      </c>
    </row>
    <row r="108" customFormat="false" ht="14.25" hidden="false" customHeight="false" outlineLevel="0" collapsed="false">
      <c r="A108" s="18" t="n">
        <v>304.64</v>
      </c>
      <c r="B108" s="18" t="n">
        <v>405</v>
      </c>
      <c r="C108" s="38" t="n">
        <f aca="false">$B$94</f>
        <v>30</v>
      </c>
      <c r="D108" s="20" t="n">
        <f aca="false">IF(OR(A108="",B108=""),"",A108*C108/((B108/1000)*$N$2*$B$93))</f>
        <v>0.808160334835396</v>
      </c>
      <c r="E108" s="21" t="n">
        <f aca="false">IF(A108="","",A108/$B$91)</f>
        <v>6.21714285714286</v>
      </c>
      <c r="G108" s="18" t="n">
        <v>361.65</v>
      </c>
      <c r="H108" s="18" t="n">
        <v>297</v>
      </c>
      <c r="I108" s="38" t="n">
        <f aca="false">$H$94</f>
        <v>29.95</v>
      </c>
      <c r="J108" s="20" t="n">
        <f aca="false">IF(OR(G108="",H108=""),"",G108*I108/((H108/1000)*$N$2*$H$93))</f>
        <v>0.957799587878804</v>
      </c>
      <c r="K108" s="21" t="n">
        <f aca="false">IF(G108="","",G108/$H$91)</f>
        <v>7.38061224489796</v>
      </c>
    </row>
    <row r="109" customFormat="false" ht="14.25" hidden="false" customHeight="false" outlineLevel="0" collapsed="false">
      <c r="A109" s="18" t="n">
        <v>322.01</v>
      </c>
      <c r="B109" s="18" t="n">
        <v>410</v>
      </c>
      <c r="C109" s="38" t="n">
        <f aca="false">$B$94</f>
        <v>30</v>
      </c>
      <c r="D109" s="20" t="n">
        <f aca="false">IF(OR(A109="",B109=""),"",A109*C109/((B109/1000)*$N$2*$B$93))</f>
        <v>0.843822555173</v>
      </c>
      <c r="E109" s="21" t="n">
        <f aca="false">IF(A109="","",A109/$B$91)</f>
        <v>6.57163265306122</v>
      </c>
      <c r="G109" s="18" t="n">
        <v>366.27</v>
      </c>
      <c r="H109" s="18" t="n">
        <v>299</v>
      </c>
      <c r="I109" s="38" t="n">
        <f aca="false">$H$94</f>
        <v>29.95</v>
      </c>
      <c r="J109" s="20" t="n">
        <f aca="false">IF(OR(G109="",H109=""),"",G109*I109/((H109/1000)*$N$2*$H$93))</f>
        <v>0.963546738823441</v>
      </c>
      <c r="K109" s="21" t="n">
        <f aca="false">IF(G109="","",G109/$H$91)</f>
        <v>7.47489795918367</v>
      </c>
    </row>
    <row r="110" customFormat="false" ht="14.25" hidden="false" customHeight="false" outlineLevel="0" collapsed="false">
      <c r="A110" s="18" t="n">
        <v>356.74</v>
      </c>
      <c r="B110" s="18" t="n">
        <v>419</v>
      </c>
      <c r="C110" s="38" t="n">
        <f aca="false">$B$94</f>
        <v>30</v>
      </c>
      <c r="D110" s="20" t="n">
        <f aca="false">IF(OR(A110="",B110=""),"",A110*C110/((B110/1000)*$N$2*$B$93))</f>
        <v>0.914752094642776</v>
      </c>
      <c r="E110" s="21" t="n">
        <f aca="false">IF(A110="","",A110/$B$91)</f>
        <v>7.28040816326531</v>
      </c>
      <c r="G110" s="18" t="n">
        <v>373.35</v>
      </c>
      <c r="H110" s="18" t="n">
        <v>302</v>
      </c>
      <c r="I110" s="38" t="n">
        <f aca="false">$H$94</f>
        <v>29.95</v>
      </c>
      <c r="J110" s="20" t="n">
        <f aca="false">IF(OR(G110="",H110=""),"",G110*I110/((H110/1000)*$N$2*$H$93))</f>
        <v>0.972415423165915</v>
      </c>
      <c r="K110" s="21" t="n">
        <f aca="false">IF(G110="","",G110/$H$91)</f>
        <v>7.61938775510204</v>
      </c>
    </row>
    <row r="111" customFormat="false" ht="14.25" hidden="false" customHeight="false" outlineLevel="0" collapsed="false">
      <c r="A111" s="18" t="n">
        <v>369.4</v>
      </c>
      <c r="B111" s="18" t="n">
        <v>422</v>
      </c>
      <c r="C111" s="38" t="n">
        <f aca="false">$B$94</f>
        <v>30</v>
      </c>
      <c r="D111" s="20" t="n">
        <f aca="false">IF(OR(A111="",B111=""),"",A111*C111/((B111/1000)*$N$2*$B$93))</f>
        <v>0.940481090054543</v>
      </c>
      <c r="E111" s="21" t="n">
        <f aca="false">IF(A111="","",A111/$B$91)</f>
        <v>7.53877551020408</v>
      </c>
      <c r="G111" s="18" t="n">
        <v>380.61</v>
      </c>
      <c r="H111" s="18" t="n">
        <v>305</v>
      </c>
      <c r="I111" s="38" t="n">
        <f aca="false">$H$94</f>
        <v>29.95</v>
      </c>
      <c r="J111" s="20" t="n">
        <f aca="false">IF(OR(G111="",H111=""),"",G111*I111/((H111/1000)*$N$2*$H$93))</f>
        <v>0.981573852441681</v>
      </c>
      <c r="K111" s="21" t="n">
        <f aca="false">IF(G111="","",G111/$H$91)</f>
        <v>7.76755102040816</v>
      </c>
    </row>
    <row r="112" customFormat="false" ht="14.25" hidden="false" customHeight="false" outlineLevel="0" collapsed="false">
      <c r="A112" s="18" t="n">
        <v>382.65</v>
      </c>
      <c r="B112" s="18" t="n">
        <v>425</v>
      </c>
      <c r="C112" s="38" t="n">
        <f aca="false">$B$94</f>
        <v>30</v>
      </c>
      <c r="D112" s="20" t="n">
        <f aca="false">IF(OR(A112="",B112=""),"",A112*C112/((B112/1000)*$N$2*$B$93))</f>
        <v>0.967338371312172</v>
      </c>
      <c r="E112" s="21" t="n">
        <f aca="false">IF(A112="","",A112/$B$91)</f>
        <v>7.80918367346939</v>
      </c>
      <c r="G112" s="18" t="n">
        <v>388.07</v>
      </c>
      <c r="H112" s="18" t="n">
        <v>308</v>
      </c>
      <c r="I112" s="38" t="n">
        <f aca="false">$H$94</f>
        <v>29.95</v>
      </c>
      <c r="J112" s="20" t="n">
        <f aca="false">IF(OR(G112="",H112=""),"",G112*I112/((H112/1000)*$N$2*$H$93))</f>
        <v>0.99106463666918</v>
      </c>
      <c r="K112" s="21" t="n">
        <f aca="false">IF(G112="","",G112/$H$91)</f>
        <v>7.91979591836735</v>
      </c>
    </row>
    <row r="113" customFormat="false" ht="14.25" hidden="false" customHeight="false" outlineLevel="0" collapsed="false">
      <c r="A113" s="18" t="n">
        <v>391.83</v>
      </c>
      <c r="B113" s="18" t="n">
        <v>427</v>
      </c>
      <c r="C113" s="38" t="n">
        <f aca="false">$B$94</f>
        <v>30</v>
      </c>
      <c r="D113" s="20" t="n">
        <f aca="false">IF(OR(A113="",B113=""),"",A113*C113/((B113/1000)*$N$2*$B$93))</f>
        <v>0.985905834562929</v>
      </c>
      <c r="E113" s="21" t="n">
        <f aca="false">IF(A113="","",A113/$B$91)</f>
        <v>7.9965306122449</v>
      </c>
      <c r="G113" s="18" t="n">
        <v>393.15</v>
      </c>
      <c r="H113" s="18" t="n">
        <v>310</v>
      </c>
      <c r="I113" s="38" t="n">
        <f aca="false">$H$94</f>
        <v>29.95</v>
      </c>
      <c r="J113" s="20" t="n">
        <f aca="false">IF(OR(G113="",H113=""),"",G113*I113/((H113/1000)*$N$2*$H$93))</f>
        <v>0.99756042572298</v>
      </c>
      <c r="K113" s="21" t="n">
        <f aca="false">IF(G113="","",G113/$H$91)</f>
        <v>8.0234693877551</v>
      </c>
    </row>
    <row r="114" customFormat="false" ht="14.25" hidden="false" customHeight="false" outlineLevel="0" collapsed="false">
      <c r="A114" s="22" t="n">
        <v>396.53</v>
      </c>
      <c r="B114" s="22" t="n">
        <v>428</v>
      </c>
      <c r="C114" s="39" t="n">
        <f aca="false">$B$94</f>
        <v>30</v>
      </c>
      <c r="D114" s="24" t="n">
        <f aca="false">IF(OR(A114="",B114=""),"",A114*C114/((B114/1000)*$N$2*$B$93))</f>
        <v>0.995400623907652</v>
      </c>
      <c r="E114" s="25" t="n">
        <f aca="false">IF(A114="","",A114/$B$91)</f>
        <v>8.09244897959184</v>
      </c>
      <c r="G114" s="22" t="n">
        <v>398.32</v>
      </c>
      <c r="H114" s="22" t="n">
        <v>312</v>
      </c>
      <c r="I114" s="39" t="n">
        <f aca="false">$H$94</f>
        <v>29.95</v>
      </c>
      <c r="J114" s="24" t="n">
        <f aca="false">IF(OR(G114="",H114=""),"",G114*I114/((H114/1000)*$N$2*$H$93))</f>
        <v>1.00419983336377</v>
      </c>
      <c r="K114" s="25" t="n">
        <f aca="false">IF(G114="","",G114/$H$91)</f>
        <v>8.12897959183674</v>
      </c>
    </row>
  </sheetData>
  <mergeCells count="2">
    <mergeCell ref="A1:K1"/>
    <mergeCell ref="A60:K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2021-02-22T15:43:55Z</dcterms:created>
  <dc:creator>Rodrigo Messias</dc:creator>
  <dc:description/>
  <dc:language>en-US</dc:language>
  <cp:lastModifiedBy/>
  <dcterms:modified xsi:type="dcterms:W3CDTF">2026-10-12T01:54:41Z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